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337be3c42c606a/Documentos/MayBelen Jewels/"/>
    </mc:Choice>
  </mc:AlternateContent>
  <xr:revisionPtr revIDLastSave="249" documentId="13_ncr:1_{F6A2C821-F95A-40EE-9DD9-E75D66283F12}" xr6:coauthVersionLast="47" xr6:coauthVersionMax="47" xr10:uidLastSave="{E49CC13A-0A44-483F-BED1-A6DF1EB4CD94}"/>
  <bookViews>
    <workbookView xWindow="-120" yWindow="-120" windowWidth="20730" windowHeight="11040" xr2:uid="{C284E6DF-F3BB-4FD9-BA39-9CD5F0F43ECD}"/>
  </bookViews>
  <sheets>
    <sheet name="Pedi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2" i="1" l="1"/>
  <c r="M272" i="1" s="1"/>
  <c r="H273" i="1"/>
  <c r="N273" i="1" s="1"/>
  <c r="H274" i="1"/>
  <c r="M274" i="1" s="1"/>
  <c r="H275" i="1"/>
  <c r="N275" i="1" s="1"/>
  <c r="H276" i="1"/>
  <c r="H277" i="1"/>
  <c r="M277" i="1" s="1"/>
  <c r="H278" i="1"/>
  <c r="N278" i="1" s="1"/>
  <c r="H279" i="1"/>
  <c r="N279" i="1" s="1"/>
  <c r="H280" i="1"/>
  <c r="H281" i="1"/>
  <c r="H282" i="1"/>
  <c r="H283" i="1"/>
  <c r="H284" i="1"/>
  <c r="H285" i="1"/>
  <c r="H286" i="1"/>
  <c r="H287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M276" i="1"/>
  <c r="M279" i="1"/>
  <c r="M280" i="1"/>
  <c r="M281" i="1"/>
  <c r="M282" i="1"/>
  <c r="M283" i="1"/>
  <c r="M284" i="1"/>
  <c r="M285" i="1"/>
  <c r="M286" i="1"/>
  <c r="M287" i="1"/>
  <c r="N274" i="1"/>
  <c r="N276" i="1"/>
  <c r="N280" i="1"/>
  <c r="N281" i="1"/>
  <c r="N282" i="1"/>
  <c r="N283" i="1"/>
  <c r="N284" i="1"/>
  <c r="N285" i="1"/>
  <c r="N286" i="1"/>
  <c r="N287" i="1"/>
  <c r="H258" i="1"/>
  <c r="M258" i="1" s="1"/>
  <c r="H259" i="1"/>
  <c r="M259" i="1" s="1"/>
  <c r="H260" i="1"/>
  <c r="M260" i="1" s="1"/>
  <c r="H261" i="1"/>
  <c r="M261" i="1" s="1"/>
  <c r="H262" i="1"/>
  <c r="M262" i="1" s="1"/>
  <c r="H263" i="1"/>
  <c r="M263" i="1" s="1"/>
  <c r="H264" i="1"/>
  <c r="M264" i="1" s="1"/>
  <c r="H265" i="1"/>
  <c r="M265" i="1" s="1"/>
  <c r="H266" i="1"/>
  <c r="N266" i="1" s="1"/>
  <c r="H267" i="1"/>
  <c r="M267" i="1" s="1"/>
  <c r="H268" i="1"/>
  <c r="M268" i="1" s="1"/>
  <c r="H269" i="1"/>
  <c r="N269" i="1" s="1"/>
  <c r="H270" i="1"/>
  <c r="M270" i="1" s="1"/>
  <c r="H271" i="1"/>
  <c r="M271" i="1" s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M266" i="1"/>
  <c r="N270" i="1"/>
  <c r="H245" i="1"/>
  <c r="N245" i="1" s="1"/>
  <c r="H246" i="1"/>
  <c r="N246" i="1" s="1"/>
  <c r="H247" i="1"/>
  <c r="M247" i="1" s="1"/>
  <c r="H248" i="1"/>
  <c r="N248" i="1" s="1"/>
  <c r="H249" i="1"/>
  <c r="N249" i="1" s="1"/>
  <c r="H250" i="1"/>
  <c r="M250" i="1" s="1"/>
  <c r="H251" i="1"/>
  <c r="M251" i="1" s="1"/>
  <c r="H252" i="1"/>
  <c r="N252" i="1" s="1"/>
  <c r="H253" i="1"/>
  <c r="N253" i="1" s="1"/>
  <c r="H254" i="1"/>
  <c r="N254" i="1" s="1"/>
  <c r="H255" i="1"/>
  <c r="N255" i="1" s="1"/>
  <c r="H256" i="1"/>
  <c r="N256" i="1" s="1"/>
  <c r="H257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M248" i="1"/>
  <c r="M249" i="1"/>
  <c r="M257" i="1"/>
  <c r="N250" i="1"/>
  <c r="N257" i="1"/>
  <c r="H226" i="1"/>
  <c r="M226" i="1" s="1"/>
  <c r="H227" i="1"/>
  <c r="M227" i="1" s="1"/>
  <c r="H228" i="1"/>
  <c r="N228" i="1" s="1"/>
  <c r="H229" i="1"/>
  <c r="M229" i="1" s="1"/>
  <c r="H230" i="1"/>
  <c r="H231" i="1"/>
  <c r="M231" i="1" s="1"/>
  <c r="H232" i="1"/>
  <c r="M232" i="1" s="1"/>
  <c r="H233" i="1"/>
  <c r="M233" i="1" s="1"/>
  <c r="H234" i="1"/>
  <c r="M234" i="1" s="1"/>
  <c r="H235" i="1"/>
  <c r="M235" i="1" s="1"/>
  <c r="H236" i="1"/>
  <c r="M236" i="1" s="1"/>
  <c r="H237" i="1"/>
  <c r="M237" i="1" s="1"/>
  <c r="H238" i="1"/>
  <c r="H239" i="1"/>
  <c r="M239" i="1" s="1"/>
  <c r="H240" i="1"/>
  <c r="M240" i="1" s="1"/>
  <c r="H241" i="1"/>
  <c r="M241" i="1" s="1"/>
  <c r="H242" i="1"/>
  <c r="N242" i="1" s="1"/>
  <c r="H243" i="1"/>
  <c r="M243" i="1" s="1"/>
  <c r="H244" i="1"/>
  <c r="N244" i="1" s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M230" i="1"/>
  <c r="M238" i="1"/>
  <c r="N230" i="1"/>
  <c r="N232" i="1"/>
  <c r="N238" i="1"/>
  <c r="N239" i="1"/>
  <c r="N241" i="1"/>
  <c r="H202" i="1"/>
  <c r="N202" i="1" s="1"/>
  <c r="J202" i="1"/>
  <c r="L202" i="1"/>
  <c r="H203" i="1"/>
  <c r="M203" i="1" s="1"/>
  <c r="J203" i="1"/>
  <c r="L203" i="1"/>
  <c r="H204" i="1"/>
  <c r="M204" i="1" s="1"/>
  <c r="J204" i="1"/>
  <c r="L204" i="1"/>
  <c r="H205" i="1"/>
  <c r="M205" i="1" s="1"/>
  <c r="J205" i="1"/>
  <c r="L205" i="1"/>
  <c r="H206" i="1"/>
  <c r="N206" i="1" s="1"/>
  <c r="J206" i="1"/>
  <c r="L206" i="1"/>
  <c r="H208" i="1"/>
  <c r="M208" i="1" s="1"/>
  <c r="H209" i="1"/>
  <c r="M209" i="1" s="1"/>
  <c r="H210" i="1"/>
  <c r="M210" i="1" s="1"/>
  <c r="H211" i="1"/>
  <c r="M211" i="1" s="1"/>
  <c r="H212" i="1"/>
  <c r="M212" i="1" s="1"/>
  <c r="H213" i="1"/>
  <c r="M213" i="1" s="1"/>
  <c r="H214" i="1"/>
  <c r="M214" i="1" s="1"/>
  <c r="H215" i="1"/>
  <c r="N215" i="1" s="1"/>
  <c r="H216" i="1"/>
  <c r="M216" i="1" s="1"/>
  <c r="H217" i="1"/>
  <c r="M217" i="1" s="1"/>
  <c r="H218" i="1"/>
  <c r="N218" i="1" s="1"/>
  <c r="H219" i="1"/>
  <c r="N219" i="1" s="1"/>
  <c r="H220" i="1"/>
  <c r="M220" i="1" s="1"/>
  <c r="H221" i="1"/>
  <c r="M221" i="1" s="1"/>
  <c r="H222" i="1"/>
  <c r="N222" i="1" s="1"/>
  <c r="N223" i="1"/>
  <c r="H224" i="1"/>
  <c r="M224" i="1" s="1"/>
  <c r="H225" i="1"/>
  <c r="M225" i="1" s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M223" i="1"/>
  <c r="N211" i="1"/>
  <c r="N221" i="1"/>
  <c r="H188" i="1"/>
  <c r="M188" i="1" s="1"/>
  <c r="H189" i="1"/>
  <c r="N189" i="1" s="1"/>
  <c r="H190" i="1"/>
  <c r="M190" i="1" s="1"/>
  <c r="H191" i="1"/>
  <c r="M191" i="1" s="1"/>
  <c r="H192" i="1"/>
  <c r="M192" i="1" s="1"/>
  <c r="H193" i="1"/>
  <c r="N193" i="1" s="1"/>
  <c r="H194" i="1"/>
  <c r="N194" i="1" s="1"/>
  <c r="H195" i="1"/>
  <c r="M195" i="1" s="1"/>
  <c r="H196" i="1"/>
  <c r="N196" i="1" s="1"/>
  <c r="H197" i="1"/>
  <c r="N197" i="1" s="1"/>
  <c r="H198" i="1"/>
  <c r="N198" i="1" s="1"/>
  <c r="H199" i="1"/>
  <c r="M199" i="1" s="1"/>
  <c r="H200" i="1"/>
  <c r="N200" i="1" s="1"/>
  <c r="H201" i="1"/>
  <c r="N201" i="1" s="1"/>
  <c r="H207" i="1"/>
  <c r="M207" i="1" s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7" i="1"/>
  <c r="M193" i="1"/>
  <c r="N191" i="1"/>
  <c r="N199" i="1"/>
  <c r="H4" i="1"/>
  <c r="H5" i="1"/>
  <c r="H6" i="1"/>
  <c r="H7" i="1"/>
  <c r="M7" i="1" s="1"/>
  <c r="H8" i="1"/>
  <c r="M8" i="1" s="1"/>
  <c r="H9" i="1"/>
  <c r="H11" i="1"/>
  <c r="M11" i="1" s="1"/>
  <c r="H12" i="1"/>
  <c r="N12" i="1" s="1"/>
  <c r="H14" i="1"/>
  <c r="H15" i="1"/>
  <c r="M15" i="1" s="1"/>
  <c r="H16" i="1"/>
  <c r="M16" i="1" s="1"/>
  <c r="H17" i="1"/>
  <c r="N17" i="1" s="1"/>
  <c r="H18" i="1"/>
  <c r="M18" i="1" s="1"/>
  <c r="H19" i="1"/>
  <c r="M19" i="1" s="1"/>
  <c r="H20" i="1"/>
  <c r="M20" i="1" s="1"/>
  <c r="H21" i="1"/>
  <c r="N21" i="1" s="1"/>
  <c r="H22" i="1"/>
  <c r="H23" i="1"/>
  <c r="M23" i="1" s="1"/>
  <c r="H24" i="1"/>
  <c r="M24" i="1" s="1"/>
  <c r="H25" i="1"/>
  <c r="N25" i="1" s="1"/>
  <c r="H26" i="1"/>
  <c r="M26" i="1" s="1"/>
  <c r="H27" i="1"/>
  <c r="M27" i="1" s="1"/>
  <c r="H28" i="1"/>
  <c r="N28" i="1" s="1"/>
  <c r="H29" i="1"/>
  <c r="N29" i="1" s="1"/>
  <c r="H30" i="1"/>
  <c r="H31" i="1"/>
  <c r="M31" i="1" s="1"/>
  <c r="H32" i="1"/>
  <c r="M32" i="1" s="1"/>
  <c r="H33" i="1"/>
  <c r="N33" i="1" s="1"/>
  <c r="H34" i="1"/>
  <c r="M34" i="1" s="1"/>
  <c r="H35" i="1"/>
  <c r="M35" i="1" s="1"/>
  <c r="H36" i="1"/>
  <c r="M36" i="1" s="1"/>
  <c r="H37" i="1"/>
  <c r="N37" i="1" s="1"/>
  <c r="H38" i="1"/>
  <c r="H39" i="1"/>
  <c r="M39" i="1" s="1"/>
  <c r="H40" i="1"/>
  <c r="M40" i="1" s="1"/>
  <c r="H41" i="1"/>
  <c r="N41" i="1" s="1"/>
  <c r="H42" i="1"/>
  <c r="M42" i="1" s="1"/>
  <c r="H43" i="1"/>
  <c r="M43" i="1" s="1"/>
  <c r="H44" i="1"/>
  <c r="N44" i="1" s="1"/>
  <c r="H45" i="1"/>
  <c r="N45" i="1" s="1"/>
  <c r="H46" i="1"/>
  <c r="H47" i="1"/>
  <c r="M47" i="1" s="1"/>
  <c r="H48" i="1"/>
  <c r="M48" i="1" s="1"/>
  <c r="H49" i="1"/>
  <c r="N49" i="1" s="1"/>
  <c r="H50" i="1"/>
  <c r="M50" i="1" s="1"/>
  <c r="H51" i="1"/>
  <c r="M51" i="1" s="1"/>
  <c r="H52" i="1"/>
  <c r="M52" i="1" s="1"/>
  <c r="H53" i="1"/>
  <c r="N53" i="1" s="1"/>
  <c r="H54" i="1"/>
  <c r="H55" i="1"/>
  <c r="M55" i="1" s="1"/>
  <c r="H56" i="1"/>
  <c r="M56" i="1" s="1"/>
  <c r="H57" i="1"/>
  <c r="N57" i="1" s="1"/>
  <c r="H58" i="1"/>
  <c r="M58" i="1" s="1"/>
  <c r="H59" i="1"/>
  <c r="M59" i="1" s="1"/>
  <c r="H60" i="1"/>
  <c r="N60" i="1" s="1"/>
  <c r="H61" i="1"/>
  <c r="N61" i="1" s="1"/>
  <c r="H62" i="1"/>
  <c r="H63" i="1"/>
  <c r="M63" i="1" s="1"/>
  <c r="H64" i="1"/>
  <c r="M64" i="1" s="1"/>
  <c r="H65" i="1"/>
  <c r="H66" i="1"/>
  <c r="M66" i="1" s="1"/>
  <c r="H67" i="1"/>
  <c r="M67" i="1" s="1"/>
  <c r="H68" i="1"/>
  <c r="M68" i="1" s="1"/>
  <c r="H69" i="1"/>
  <c r="N69" i="1" s="1"/>
  <c r="H70" i="1"/>
  <c r="H71" i="1"/>
  <c r="M71" i="1" s="1"/>
  <c r="H72" i="1"/>
  <c r="M72" i="1" s="1"/>
  <c r="H73" i="1"/>
  <c r="H74" i="1"/>
  <c r="M74" i="1" s="1"/>
  <c r="H75" i="1"/>
  <c r="M75" i="1" s="1"/>
  <c r="H76" i="1"/>
  <c r="N76" i="1" s="1"/>
  <c r="H77" i="1"/>
  <c r="N77" i="1" s="1"/>
  <c r="H78" i="1"/>
  <c r="H79" i="1"/>
  <c r="M79" i="1" s="1"/>
  <c r="H80" i="1"/>
  <c r="M80" i="1" s="1"/>
  <c r="H81" i="1"/>
  <c r="H82" i="1"/>
  <c r="M82" i="1" s="1"/>
  <c r="H83" i="1"/>
  <c r="M83" i="1" s="1"/>
  <c r="H84" i="1"/>
  <c r="M84" i="1" s="1"/>
  <c r="H85" i="1"/>
  <c r="N85" i="1" s="1"/>
  <c r="H86" i="1"/>
  <c r="H87" i="1"/>
  <c r="M87" i="1" s="1"/>
  <c r="H88" i="1"/>
  <c r="M88" i="1" s="1"/>
  <c r="H89" i="1"/>
  <c r="H90" i="1"/>
  <c r="M90" i="1" s="1"/>
  <c r="H91" i="1"/>
  <c r="M91" i="1" s="1"/>
  <c r="H92" i="1"/>
  <c r="N92" i="1" s="1"/>
  <c r="H93" i="1"/>
  <c r="N93" i="1" s="1"/>
  <c r="H94" i="1"/>
  <c r="H95" i="1"/>
  <c r="M95" i="1" s="1"/>
  <c r="H96" i="1"/>
  <c r="M96" i="1" s="1"/>
  <c r="H97" i="1"/>
  <c r="H98" i="1"/>
  <c r="M98" i="1" s="1"/>
  <c r="H99" i="1"/>
  <c r="M99" i="1" s="1"/>
  <c r="H100" i="1"/>
  <c r="M100" i="1" s="1"/>
  <c r="H101" i="1"/>
  <c r="N101" i="1" s="1"/>
  <c r="H102" i="1"/>
  <c r="H103" i="1"/>
  <c r="M103" i="1" s="1"/>
  <c r="H104" i="1"/>
  <c r="M104" i="1" s="1"/>
  <c r="H105" i="1"/>
  <c r="H106" i="1"/>
  <c r="H107" i="1"/>
  <c r="M107" i="1" s="1"/>
  <c r="H108" i="1"/>
  <c r="N108" i="1" s="1"/>
  <c r="H109" i="1"/>
  <c r="N109" i="1" s="1"/>
  <c r="H110" i="1"/>
  <c r="H111" i="1"/>
  <c r="M111" i="1" s="1"/>
  <c r="H112" i="1"/>
  <c r="M112" i="1" s="1"/>
  <c r="H113" i="1"/>
  <c r="M113" i="1" s="1"/>
  <c r="H114" i="1"/>
  <c r="M114" i="1" s="1"/>
  <c r="H115" i="1"/>
  <c r="M115" i="1" s="1"/>
  <c r="H116" i="1"/>
  <c r="N116" i="1" s="1"/>
  <c r="H117" i="1"/>
  <c r="N117" i="1" s="1"/>
  <c r="H118" i="1"/>
  <c r="H119" i="1"/>
  <c r="M119" i="1" s="1"/>
  <c r="H120" i="1"/>
  <c r="M120" i="1" s="1"/>
  <c r="H121" i="1"/>
  <c r="H122" i="1"/>
  <c r="M122" i="1" s="1"/>
  <c r="H123" i="1"/>
  <c r="M123" i="1" s="1"/>
  <c r="H124" i="1"/>
  <c r="N124" i="1" s="1"/>
  <c r="H125" i="1"/>
  <c r="N125" i="1" s="1"/>
  <c r="H126" i="1"/>
  <c r="H127" i="1"/>
  <c r="M127" i="1" s="1"/>
  <c r="H128" i="1"/>
  <c r="M128" i="1" s="1"/>
  <c r="H129" i="1"/>
  <c r="M129" i="1" s="1"/>
  <c r="H130" i="1"/>
  <c r="M130" i="1" s="1"/>
  <c r="H131" i="1"/>
  <c r="M131" i="1" s="1"/>
  <c r="H132" i="1"/>
  <c r="H133" i="1"/>
  <c r="N133" i="1" s="1"/>
  <c r="H134" i="1"/>
  <c r="H135" i="1"/>
  <c r="M135" i="1" s="1"/>
  <c r="H136" i="1"/>
  <c r="M136" i="1" s="1"/>
  <c r="H137" i="1"/>
  <c r="H138" i="1"/>
  <c r="M138" i="1" s="1"/>
  <c r="H139" i="1"/>
  <c r="M139" i="1" s="1"/>
  <c r="H140" i="1"/>
  <c r="H141" i="1"/>
  <c r="N141" i="1" s="1"/>
  <c r="H142" i="1"/>
  <c r="H143" i="1"/>
  <c r="M143" i="1" s="1"/>
  <c r="H144" i="1"/>
  <c r="M144" i="1" s="1"/>
  <c r="H145" i="1"/>
  <c r="M145" i="1" s="1"/>
  <c r="H146" i="1"/>
  <c r="M146" i="1" s="1"/>
  <c r="H147" i="1"/>
  <c r="M147" i="1" s="1"/>
  <c r="H148" i="1"/>
  <c r="H149" i="1"/>
  <c r="N149" i="1" s="1"/>
  <c r="H150" i="1"/>
  <c r="H151" i="1"/>
  <c r="M151" i="1" s="1"/>
  <c r="H152" i="1"/>
  <c r="M152" i="1" s="1"/>
  <c r="H153" i="1"/>
  <c r="H154" i="1"/>
  <c r="M154" i="1" s="1"/>
  <c r="H155" i="1"/>
  <c r="M155" i="1" s="1"/>
  <c r="H156" i="1"/>
  <c r="H157" i="1"/>
  <c r="N157" i="1" s="1"/>
  <c r="H158" i="1"/>
  <c r="H159" i="1"/>
  <c r="M159" i="1" s="1"/>
  <c r="H160" i="1"/>
  <c r="M160" i="1" s="1"/>
  <c r="H161" i="1"/>
  <c r="M161" i="1" s="1"/>
  <c r="H162" i="1"/>
  <c r="M162" i="1" s="1"/>
  <c r="H163" i="1"/>
  <c r="M163" i="1" s="1"/>
  <c r="H164" i="1"/>
  <c r="H165" i="1"/>
  <c r="N165" i="1" s="1"/>
  <c r="H166" i="1"/>
  <c r="H167" i="1"/>
  <c r="M167" i="1" s="1"/>
  <c r="H168" i="1"/>
  <c r="M168" i="1" s="1"/>
  <c r="H169" i="1"/>
  <c r="H170" i="1"/>
  <c r="M170" i="1" s="1"/>
  <c r="H171" i="1"/>
  <c r="H172" i="1"/>
  <c r="H173" i="1"/>
  <c r="H174" i="1"/>
  <c r="H175" i="1"/>
  <c r="M175" i="1" s="1"/>
  <c r="H176" i="1"/>
  <c r="M176" i="1" s="1"/>
  <c r="H177" i="1"/>
  <c r="H178" i="1"/>
  <c r="M178" i="1" s="1"/>
  <c r="H179" i="1"/>
  <c r="M179" i="1" s="1"/>
  <c r="H180" i="1"/>
  <c r="H181" i="1"/>
  <c r="H182" i="1"/>
  <c r="N182" i="1" s="1"/>
  <c r="H183" i="1"/>
  <c r="M183" i="1" s="1"/>
  <c r="H184" i="1"/>
  <c r="M184" i="1" s="1"/>
  <c r="H185" i="1"/>
  <c r="N185" i="1" s="1"/>
  <c r="H186" i="1"/>
  <c r="M186" i="1" s="1"/>
  <c r="H187" i="1"/>
  <c r="M187" i="1" s="1"/>
  <c r="N4" i="1"/>
  <c r="N5" i="1"/>
  <c r="N6" i="1"/>
  <c r="N8" i="1"/>
  <c r="N9" i="1"/>
  <c r="N14" i="1"/>
  <c r="N15" i="1"/>
  <c r="N16" i="1"/>
  <c r="N18" i="1"/>
  <c r="N19" i="1"/>
  <c r="N22" i="1"/>
  <c r="N23" i="1"/>
  <c r="N24" i="1"/>
  <c r="N26" i="1"/>
  <c r="N27" i="1"/>
  <c r="N30" i="1"/>
  <c r="N31" i="1"/>
  <c r="N32" i="1"/>
  <c r="N34" i="1"/>
  <c r="N35" i="1"/>
  <c r="N38" i="1"/>
  <c r="N39" i="1"/>
  <c r="N40" i="1"/>
  <c r="N42" i="1"/>
  <c r="N43" i="1"/>
  <c r="N46" i="1"/>
  <c r="N47" i="1"/>
  <c r="N48" i="1"/>
  <c r="N50" i="1"/>
  <c r="N51" i="1"/>
  <c r="N54" i="1"/>
  <c r="N55" i="1"/>
  <c r="N58" i="1"/>
  <c r="N59" i="1"/>
  <c r="N62" i="1"/>
  <c r="N63" i="1"/>
  <c r="N65" i="1"/>
  <c r="N66" i="1"/>
  <c r="N67" i="1"/>
  <c r="N70" i="1"/>
  <c r="N71" i="1"/>
  <c r="N72" i="1"/>
  <c r="N73" i="1"/>
  <c r="N74" i="1"/>
  <c r="N75" i="1"/>
  <c r="N78" i="1"/>
  <c r="N79" i="1"/>
  <c r="N81" i="1"/>
  <c r="N82" i="1"/>
  <c r="N83" i="1"/>
  <c r="N86" i="1"/>
  <c r="N87" i="1"/>
  <c r="N88" i="1"/>
  <c r="N89" i="1"/>
  <c r="N90" i="1"/>
  <c r="N94" i="1"/>
  <c r="N95" i="1"/>
  <c r="N97" i="1"/>
  <c r="N98" i="1"/>
  <c r="N99" i="1"/>
  <c r="N102" i="1"/>
  <c r="N103" i="1"/>
  <c r="N104" i="1"/>
  <c r="N105" i="1"/>
  <c r="N106" i="1"/>
  <c r="N107" i="1"/>
  <c r="N110" i="1"/>
  <c r="N111" i="1"/>
  <c r="N113" i="1"/>
  <c r="N114" i="1"/>
  <c r="N115" i="1"/>
  <c r="N118" i="1"/>
  <c r="N119" i="1"/>
  <c r="N120" i="1"/>
  <c r="N121" i="1"/>
  <c r="N122" i="1"/>
  <c r="N126" i="1"/>
  <c r="N127" i="1"/>
  <c r="N129" i="1"/>
  <c r="N130" i="1"/>
  <c r="N132" i="1"/>
  <c r="N134" i="1"/>
  <c r="N136" i="1"/>
  <c r="N137" i="1"/>
  <c r="N138" i="1"/>
  <c r="N139" i="1"/>
  <c r="N140" i="1"/>
  <c r="N142" i="1"/>
  <c r="N143" i="1"/>
  <c r="N145" i="1"/>
  <c r="N146" i="1"/>
  <c r="N147" i="1"/>
  <c r="N148" i="1"/>
  <c r="N150" i="1"/>
  <c r="N151" i="1"/>
  <c r="N153" i="1"/>
  <c r="N154" i="1"/>
  <c r="N156" i="1"/>
  <c r="N158" i="1"/>
  <c r="N161" i="1"/>
  <c r="N162" i="1"/>
  <c r="N163" i="1"/>
  <c r="N164" i="1"/>
  <c r="N166" i="1"/>
  <c r="N167" i="1"/>
  <c r="N169" i="1"/>
  <c r="M4" i="1"/>
  <c r="M5" i="1"/>
  <c r="M6" i="1"/>
  <c r="M9" i="1"/>
  <c r="M12" i="1"/>
  <c r="M14" i="1"/>
  <c r="M17" i="1"/>
  <c r="M21" i="1"/>
  <c r="M22" i="1"/>
  <c r="M25" i="1"/>
  <c r="M28" i="1"/>
  <c r="M29" i="1"/>
  <c r="M30" i="1"/>
  <c r="M33" i="1"/>
  <c r="M37" i="1"/>
  <c r="M38" i="1"/>
  <c r="M41" i="1"/>
  <c r="M44" i="1"/>
  <c r="M45" i="1"/>
  <c r="M46" i="1"/>
  <c r="M49" i="1"/>
  <c r="M53" i="1"/>
  <c r="M54" i="1"/>
  <c r="M57" i="1"/>
  <c r="M60" i="1"/>
  <c r="M61" i="1"/>
  <c r="M62" i="1"/>
  <c r="M65" i="1"/>
  <c r="M69" i="1"/>
  <c r="M70" i="1"/>
  <c r="M73" i="1"/>
  <c r="M76" i="1"/>
  <c r="M77" i="1"/>
  <c r="M78" i="1"/>
  <c r="M81" i="1"/>
  <c r="M85" i="1"/>
  <c r="M86" i="1"/>
  <c r="M89" i="1"/>
  <c r="M92" i="1"/>
  <c r="M93" i="1"/>
  <c r="M94" i="1"/>
  <c r="M97" i="1"/>
  <c r="M101" i="1"/>
  <c r="M102" i="1"/>
  <c r="M105" i="1"/>
  <c r="M106" i="1"/>
  <c r="M108" i="1"/>
  <c r="M109" i="1"/>
  <c r="M110" i="1"/>
  <c r="M116" i="1"/>
  <c r="M117" i="1"/>
  <c r="M118" i="1"/>
  <c r="M121" i="1"/>
  <c r="M124" i="1"/>
  <c r="M125" i="1"/>
  <c r="M126" i="1"/>
  <c r="M132" i="1"/>
  <c r="M133" i="1"/>
  <c r="M134" i="1"/>
  <c r="M137" i="1"/>
  <c r="M140" i="1"/>
  <c r="M141" i="1"/>
  <c r="M142" i="1"/>
  <c r="M148" i="1"/>
  <c r="M149" i="1"/>
  <c r="M150" i="1"/>
  <c r="M153" i="1"/>
  <c r="M156" i="1"/>
  <c r="M157" i="1"/>
  <c r="M158" i="1"/>
  <c r="M164" i="1"/>
  <c r="M165" i="1"/>
  <c r="M166" i="1"/>
  <c r="M169" i="1"/>
  <c r="M174" i="1"/>
  <c r="M177" i="1"/>
  <c r="M181" i="1"/>
  <c r="M185" i="1"/>
  <c r="L169" i="1"/>
  <c r="M171" i="1"/>
  <c r="J171" i="1"/>
  <c r="M172" i="1"/>
  <c r="J172" i="1"/>
  <c r="M173" i="1"/>
  <c r="J173" i="1"/>
  <c r="N174" i="1"/>
  <c r="J174" i="1"/>
  <c r="J175" i="1"/>
  <c r="J176" i="1"/>
  <c r="N177" i="1"/>
  <c r="J177" i="1"/>
  <c r="J178" i="1"/>
  <c r="J179" i="1"/>
  <c r="N180" i="1"/>
  <c r="J180" i="1"/>
  <c r="N181" i="1"/>
  <c r="J181" i="1"/>
  <c r="J182" i="1"/>
  <c r="J183" i="1"/>
  <c r="J184" i="1"/>
  <c r="J185" i="1"/>
  <c r="J186" i="1"/>
  <c r="J187" i="1"/>
  <c r="L181" i="1"/>
  <c r="L182" i="1"/>
  <c r="L183" i="1"/>
  <c r="L184" i="1"/>
  <c r="L185" i="1"/>
  <c r="L186" i="1"/>
  <c r="L173" i="1"/>
  <c r="L174" i="1"/>
  <c r="L175" i="1"/>
  <c r="L176" i="1"/>
  <c r="L177" i="1"/>
  <c r="L178" i="1"/>
  <c r="L179" i="1"/>
  <c r="L180" i="1"/>
  <c r="J161" i="1"/>
  <c r="J162" i="1"/>
  <c r="J163" i="1"/>
  <c r="J164" i="1"/>
  <c r="J165" i="1"/>
  <c r="J166" i="1"/>
  <c r="J167" i="1"/>
  <c r="J168" i="1"/>
  <c r="J169" i="1"/>
  <c r="J170" i="1"/>
  <c r="L161" i="1"/>
  <c r="L162" i="1"/>
  <c r="L163" i="1"/>
  <c r="L164" i="1"/>
  <c r="L165" i="1"/>
  <c r="L166" i="1"/>
  <c r="L167" i="1"/>
  <c r="L168" i="1"/>
  <c r="L170" i="1"/>
  <c r="L171" i="1"/>
  <c r="L172" i="1"/>
  <c r="L187" i="1"/>
  <c r="J150" i="1"/>
  <c r="J151" i="1"/>
  <c r="J152" i="1"/>
  <c r="J153" i="1"/>
  <c r="J154" i="1"/>
  <c r="J155" i="1"/>
  <c r="J156" i="1"/>
  <c r="J157" i="1"/>
  <c r="J158" i="1"/>
  <c r="J159" i="1"/>
  <c r="J160" i="1"/>
  <c r="L150" i="1"/>
  <c r="L151" i="1"/>
  <c r="L152" i="1"/>
  <c r="L153" i="1"/>
  <c r="L154" i="1"/>
  <c r="L155" i="1"/>
  <c r="L156" i="1"/>
  <c r="L157" i="1"/>
  <c r="L158" i="1"/>
  <c r="L159" i="1"/>
  <c r="L160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61" i="1"/>
  <c r="J43" i="1"/>
  <c r="J52" i="1"/>
  <c r="J53" i="1"/>
  <c r="J54" i="1"/>
  <c r="J55" i="1"/>
  <c r="J44" i="1"/>
  <c r="J45" i="1"/>
  <c r="J46" i="1"/>
  <c r="J47" i="1"/>
  <c r="J48" i="1"/>
  <c r="J49" i="1"/>
  <c r="J50" i="1"/>
  <c r="J51" i="1"/>
  <c r="J56" i="1"/>
  <c r="J57" i="1"/>
  <c r="J58" i="1"/>
  <c r="J60" i="1"/>
  <c r="J59" i="1"/>
  <c r="J40" i="1"/>
  <c r="J41" i="1"/>
  <c r="J42" i="1"/>
  <c r="J36" i="1"/>
  <c r="J37" i="1"/>
  <c r="J38" i="1"/>
  <c r="J39" i="1"/>
  <c r="J35" i="1"/>
  <c r="J34" i="1"/>
  <c r="J32" i="1"/>
  <c r="J33" i="1"/>
  <c r="J31" i="1"/>
  <c r="J20" i="1"/>
  <c r="J21" i="1"/>
  <c r="J22" i="1"/>
  <c r="J23" i="1"/>
  <c r="J19" i="1"/>
  <c r="J24" i="1"/>
  <c r="J25" i="1"/>
  <c r="J26" i="1"/>
  <c r="J27" i="1"/>
  <c r="J28" i="1"/>
  <c r="J29" i="1"/>
  <c r="J30" i="1"/>
  <c r="J17" i="1"/>
  <c r="J10" i="1"/>
  <c r="J15" i="1"/>
  <c r="J11" i="1"/>
  <c r="J16" i="1"/>
  <c r="J14" i="1"/>
  <c r="J9" i="1"/>
  <c r="J4" i="1"/>
  <c r="J5" i="1"/>
  <c r="J7" i="1"/>
  <c r="J6" i="1"/>
  <c r="J18" i="1"/>
  <c r="J12" i="1"/>
  <c r="J13" i="1"/>
  <c r="J8" i="1"/>
  <c r="F13" i="1"/>
  <c r="H13" i="1" s="1"/>
  <c r="F10" i="1"/>
  <c r="H10" i="1" s="1"/>
  <c r="M278" i="1" l="1"/>
  <c r="N277" i="1"/>
  <c r="M275" i="1"/>
  <c r="M273" i="1"/>
  <c r="N272" i="1"/>
  <c r="N271" i="1"/>
  <c r="M269" i="1"/>
  <c r="N267" i="1"/>
  <c r="N220" i="1"/>
  <c r="N159" i="1"/>
  <c r="N213" i="1"/>
  <c r="N268" i="1"/>
  <c r="N144" i="1"/>
  <c r="N135" i="1"/>
  <c r="M256" i="1"/>
  <c r="M200" i="1"/>
  <c r="N265" i="1"/>
  <c r="N264" i="1"/>
  <c r="N263" i="1"/>
  <c r="N262" i="1"/>
  <c r="N261" i="1"/>
  <c r="N260" i="1"/>
  <c r="N259" i="1"/>
  <c r="N258" i="1"/>
  <c r="M255" i="1"/>
  <c r="M252" i="1"/>
  <c r="N251" i="1"/>
  <c r="N247" i="1"/>
  <c r="M244" i="1"/>
  <c r="M254" i="1"/>
  <c r="M246" i="1"/>
  <c r="M253" i="1"/>
  <c r="M245" i="1"/>
  <c r="N155" i="1"/>
  <c r="N128" i="1"/>
  <c r="N96" i="1"/>
  <c r="N64" i="1"/>
  <c r="N224" i="1"/>
  <c r="N152" i="1"/>
  <c r="N123" i="1"/>
  <c r="N91" i="1"/>
  <c r="N160" i="1"/>
  <c r="N112" i="1"/>
  <c r="N80" i="1"/>
  <c r="M242" i="1"/>
  <c r="N168" i="1"/>
  <c r="N131" i="1"/>
  <c r="N56" i="1"/>
  <c r="N192" i="1"/>
  <c r="N208" i="1"/>
  <c r="N240" i="1"/>
  <c r="N236" i="1"/>
  <c r="N234" i="1"/>
  <c r="N233" i="1"/>
  <c r="N231" i="1"/>
  <c r="M228" i="1"/>
  <c r="N226" i="1"/>
  <c r="N225" i="1"/>
  <c r="N237" i="1"/>
  <c r="N229" i="1"/>
  <c r="N243" i="1"/>
  <c r="N235" i="1"/>
  <c r="N227" i="1"/>
  <c r="N7" i="1"/>
  <c r="M194" i="1"/>
  <c r="M219" i="1"/>
  <c r="N100" i="1"/>
  <c r="N84" i="1"/>
  <c r="N68" i="1"/>
  <c r="N52" i="1"/>
  <c r="N36" i="1"/>
  <c r="N20" i="1"/>
  <c r="N11" i="1"/>
  <c r="M201" i="1"/>
  <c r="M182" i="1"/>
  <c r="M222" i="1"/>
  <c r="M218" i="1"/>
  <c r="N217" i="1"/>
  <c r="N216" i="1"/>
  <c r="M215" i="1"/>
  <c r="N214" i="1"/>
  <c r="N212" i="1"/>
  <c r="N210" i="1"/>
  <c r="N209" i="1"/>
  <c r="N207" i="1"/>
  <c r="N204" i="1"/>
  <c r="M202" i="1"/>
  <c r="M206" i="1"/>
  <c r="N205" i="1"/>
  <c r="N203" i="1"/>
  <c r="M198" i="1"/>
  <c r="M197" i="1"/>
  <c r="M196" i="1"/>
  <c r="N195" i="1"/>
  <c r="N190" i="1"/>
  <c r="M189" i="1"/>
  <c r="N188" i="1"/>
  <c r="M10" i="1"/>
  <c r="N10" i="1"/>
  <c r="N13" i="1"/>
  <c r="M13" i="1"/>
  <c r="N184" i="1"/>
  <c r="N183" i="1"/>
  <c r="N176" i="1"/>
  <c r="N175" i="1"/>
  <c r="N173" i="1"/>
  <c r="N172" i="1"/>
  <c r="M180" i="1"/>
  <c r="N187" i="1"/>
  <c r="N179" i="1"/>
  <c r="N171" i="1"/>
  <c r="N186" i="1"/>
  <c r="N178" i="1"/>
  <c r="N170" i="1"/>
  <c r="F288" i="1"/>
  <c r="J288" i="1"/>
  <c r="N288" i="1" l="1"/>
  <c r="M288" i="1"/>
</calcChain>
</file>

<file path=xl/sharedStrings.xml><?xml version="1.0" encoding="utf-8"?>
<sst xmlns="http://schemas.openxmlformats.org/spreadsheetml/2006/main" count="1117" uniqueCount="324">
  <si>
    <t>Pulsera Hello Kitty</t>
  </si>
  <si>
    <t>Anillo Mounstro</t>
  </si>
  <si>
    <t>SUBTOTAL</t>
  </si>
  <si>
    <t>UNIDADES</t>
  </si>
  <si>
    <t>Gargantillas</t>
  </si>
  <si>
    <t>Anillo resina</t>
  </si>
  <si>
    <t>Pulseras niña</t>
  </si>
  <si>
    <t>Relicario Hello Kitty</t>
  </si>
  <si>
    <t>Gafas Niña Hello Kitty</t>
  </si>
  <si>
    <t>Bolso tela cubo rosa Hello Kitty</t>
  </si>
  <si>
    <t>Bolso tela bandolera Hello Kitty</t>
  </si>
  <si>
    <t>Bolso impermeable bandolera Hello Kitty</t>
  </si>
  <si>
    <t>Bolso cuerina Mensajerìa Hello Kitty</t>
  </si>
  <si>
    <t>Camiseta Estampado Hello Kitty</t>
  </si>
  <si>
    <t>Anillo Metal Piedras Rosadas</t>
  </si>
  <si>
    <t>Aretes Gato Negro</t>
  </si>
  <si>
    <t>Mochila Hello Kitty</t>
  </si>
  <si>
    <t>DESCRIPCION</t>
  </si>
  <si>
    <t>PVP</t>
  </si>
  <si>
    <t>PRECIO U.</t>
  </si>
  <si>
    <t>TOTAL PVP</t>
  </si>
  <si>
    <t>PVF</t>
  </si>
  <si>
    <t>EMP.</t>
  </si>
  <si>
    <t>Tipo</t>
  </si>
  <si>
    <t>Gargantilla</t>
  </si>
  <si>
    <t>Anillo</t>
  </si>
  <si>
    <t>Pulsera</t>
  </si>
  <si>
    <t>Gafas</t>
  </si>
  <si>
    <t>Bolso</t>
  </si>
  <si>
    <t>Camiseta</t>
  </si>
  <si>
    <t>Collar</t>
  </si>
  <si>
    <t>Arete</t>
  </si>
  <si>
    <t>Ropa</t>
  </si>
  <si>
    <t>Clasificación</t>
  </si>
  <si>
    <t>Bisuteria</t>
  </si>
  <si>
    <t>Accesorios</t>
  </si>
  <si>
    <t>Mes</t>
  </si>
  <si>
    <t>Mayo</t>
  </si>
  <si>
    <t>Junio</t>
  </si>
  <si>
    <t>Aretes</t>
  </si>
  <si>
    <t>Aretes largos de Alas</t>
  </si>
  <si>
    <t>Aretes Tulipan Negro</t>
  </si>
  <si>
    <t>Aretes Conejo Peluche</t>
  </si>
  <si>
    <t>Aretes Perrito Peluche</t>
  </si>
  <si>
    <t>Aretes Hello Kitty con cuerpo</t>
  </si>
  <si>
    <t>Aretes Pequeños Sanrio</t>
  </si>
  <si>
    <t>Aretes Gato Abrazado con Cola (plata)</t>
  </si>
  <si>
    <t>Aretes Hello Kitty (plata)</t>
  </si>
  <si>
    <t>Bolso negro Hello Kitty</t>
  </si>
  <si>
    <t>Mochila Hello Kitty con muñequito</t>
  </si>
  <si>
    <t>Llavero Sanrio para bolso</t>
  </si>
  <si>
    <t>Llavero</t>
  </si>
  <si>
    <t>Gargantilla de acero</t>
  </si>
  <si>
    <t>Cosmetiquera Hello Kitty rosa</t>
  </si>
  <si>
    <t>Cosmetiquera Hello Kitty acolchonada</t>
  </si>
  <si>
    <t>Cosmetiquera Hello Kitty negra sencilla</t>
  </si>
  <si>
    <t>Pulsera Kuromi ajustable</t>
  </si>
  <si>
    <t>Pulsera Kuromi elastica</t>
  </si>
  <si>
    <t>Monedero</t>
  </si>
  <si>
    <t>Monedero Hello Kitty</t>
  </si>
  <si>
    <t>Llavero Hello Kitty y Flor</t>
  </si>
  <si>
    <t>Lonchera térmica Hello Kitty</t>
  </si>
  <si>
    <t>Collar Kuromi</t>
  </si>
  <si>
    <t>Bolso Hello Kitty con cosmetiquera</t>
  </si>
  <si>
    <t>Papeleria</t>
  </si>
  <si>
    <t>Pinturas</t>
  </si>
  <si>
    <t>Pinturas multicolor</t>
  </si>
  <si>
    <t>Computacion</t>
  </si>
  <si>
    <t>Mouse</t>
  </si>
  <si>
    <t>Mouse tipo carrito Rosa</t>
  </si>
  <si>
    <t>Cuidado de la piel</t>
  </si>
  <si>
    <t>Acné</t>
  </si>
  <si>
    <t>Parches para acné tipo estrella</t>
  </si>
  <si>
    <t>Stickers</t>
  </si>
  <si>
    <t>Stickers Melody lámina pequeña</t>
  </si>
  <si>
    <t>Aretes animales mordiendo</t>
  </si>
  <si>
    <t>Libretas</t>
  </si>
  <si>
    <t>Mini libreta llavero</t>
  </si>
  <si>
    <t>Pulsera de cordón con corazón</t>
  </si>
  <si>
    <t>Bolso bandolera negro Hello Kitty</t>
  </si>
  <si>
    <t>Llavero peluche Hello Kitty cafè</t>
  </si>
  <si>
    <t>Llavero peluche Hello Kitty pequeño</t>
  </si>
  <si>
    <t>Llavero peluche cinnamon</t>
  </si>
  <si>
    <t>Llavero peluche Hello Kitty lazo rojo</t>
  </si>
  <si>
    <t>Llavero peluche Hello Kitty oso blanco</t>
  </si>
  <si>
    <t>Julio</t>
  </si>
  <si>
    <t>julio</t>
  </si>
  <si>
    <t xml:space="preserve">Aretes mariposa </t>
  </si>
  <si>
    <t>Aretes flor grandes</t>
  </si>
  <si>
    <t>Aretes largos de estrella y luna</t>
  </si>
  <si>
    <t>Aretes estrella largos</t>
  </si>
  <si>
    <t>Vinchas para cabello flores</t>
  </si>
  <si>
    <t>Vinchas</t>
  </si>
  <si>
    <t>Aretes de gato</t>
  </si>
  <si>
    <t>Pulsera ajustable hoja</t>
  </si>
  <si>
    <t>Anillos</t>
  </si>
  <si>
    <t>Anillos ajustables</t>
  </si>
  <si>
    <t>Pulseras acero inoxidable</t>
  </si>
  <si>
    <t>Bolso lona Hello Kitty lazo rojo</t>
  </si>
  <si>
    <t>Bolso de viaje rosado grande</t>
  </si>
  <si>
    <t>Bolso de lona Hello Kitty rosado</t>
  </si>
  <si>
    <t>Bolso de lona Hello Kitty rojo</t>
  </si>
  <si>
    <t>Bolso de lona Hello Kitty animal print</t>
  </si>
  <si>
    <t>Monedero Hello Kitty con sombrero</t>
  </si>
  <si>
    <t>Cosmetiquera blanca Hello Kitty</t>
  </si>
  <si>
    <t>Bolso de lona rosado Hello Kitty</t>
  </si>
  <si>
    <t>Anillos ajustables de mounstro</t>
  </si>
  <si>
    <t>Bolso negro grande Hello Kitty</t>
  </si>
  <si>
    <t>Cosmetiquera rosada Hello Kitty</t>
  </si>
  <si>
    <t>Bolso de tela negra con brillos Hello Kitty</t>
  </si>
  <si>
    <t>Laveros peluche pequeño Hello Kitty</t>
  </si>
  <si>
    <t>Llaveros metàlicos Hello Kitty</t>
  </si>
  <si>
    <t>Bolso pequeño blanco con negro Hello Kitty</t>
  </si>
  <si>
    <t>Decoración</t>
  </si>
  <si>
    <t>Adornos</t>
  </si>
  <si>
    <t>Adorno para carro Hello Kitty</t>
  </si>
  <si>
    <t>Llaveros sanrio Hello Kitty</t>
  </si>
  <si>
    <t>Llaveros Sario Personajes Hello Kitty</t>
  </si>
  <si>
    <t>Juguete</t>
  </si>
  <si>
    <t>Jueguete</t>
  </si>
  <si>
    <t xml:space="preserve">Dinosaurios </t>
  </si>
  <si>
    <t>Reloj</t>
  </si>
  <si>
    <t>Reloj cuarzo Hello Kitty</t>
  </si>
  <si>
    <t>Conjunto pulsera y cadena Hello Kitty</t>
  </si>
  <si>
    <t>Reloj Sanrio Plateado Hello Kitty</t>
  </si>
  <si>
    <t>Reloj dorado Hello Kitty</t>
  </si>
  <si>
    <t>Anillo dragón</t>
  </si>
  <si>
    <t>Reloj pulsera Hello Kitty</t>
  </si>
  <si>
    <t>Reloj pulsera rosada Hello Kitty</t>
  </si>
  <si>
    <t>Reloj negro hombre</t>
  </si>
  <si>
    <t>Monedero blanco Hello Kitty</t>
  </si>
  <si>
    <t>Bolso de lona Mickey Mouse</t>
  </si>
  <si>
    <t>Porta tarjetas Hello Kitty</t>
  </si>
  <si>
    <t>Monedero con broche Hello Kitty</t>
  </si>
  <si>
    <t>Bolso de lona rosado con blanco Hello Kitty</t>
  </si>
  <si>
    <t>Bolso Melody</t>
  </si>
  <si>
    <t>Cadena</t>
  </si>
  <si>
    <t>Cadenas Hello Kitty</t>
  </si>
  <si>
    <t>Bolso de pana Hello Kitty</t>
  </si>
  <si>
    <t>Cepillo</t>
  </si>
  <si>
    <t>Cepillo de cabello Hello Kitty</t>
  </si>
  <si>
    <t>Llaveros Hello Kitty</t>
  </si>
  <si>
    <t>Bolso pequeño rosado Hello Kitty</t>
  </si>
  <si>
    <t>Pulsera de hilo Hello Kitty</t>
  </si>
  <si>
    <t>Porta toallas sanitarias Hello Kitty</t>
  </si>
  <si>
    <t>Cartuchera negra Hello Kitty</t>
  </si>
  <si>
    <t>Bolso de mano Hello Kitty</t>
  </si>
  <si>
    <t>Cadena Hello Kitty con flor</t>
  </si>
  <si>
    <t>Cadenas Cinnamon</t>
  </si>
  <si>
    <t>Reloj despertador Hello Kitty</t>
  </si>
  <si>
    <t>Bolso, mochila Hello Kitty</t>
  </si>
  <si>
    <t>Bolso negro con lazo rojo Hello Kitty</t>
  </si>
  <si>
    <t>Agosto</t>
  </si>
  <si>
    <t>Stickers Sanrio lámina grande</t>
  </si>
  <si>
    <t>Esferos</t>
  </si>
  <si>
    <t>Esferos tipo sello, flores</t>
  </si>
  <si>
    <t>Marcadores</t>
  </si>
  <si>
    <t>Marcadores dorado y plateado</t>
  </si>
  <si>
    <t>Lapices arcoiris</t>
  </si>
  <si>
    <t>Lápiz</t>
  </si>
  <si>
    <t>Lapices eternos de  colores con respuestos</t>
  </si>
  <si>
    <t>Aretes fantasma</t>
  </si>
  <si>
    <t>Anillos regulables rosados</t>
  </si>
  <si>
    <t>Esferos de gel arcoiris</t>
  </si>
  <si>
    <t>Láminas para acné</t>
  </si>
  <si>
    <t>Septiembre</t>
  </si>
  <si>
    <t>Bolso blanco de Nylon Hello Kitty</t>
  </si>
  <si>
    <t>Bandolera negra Hello Kitty</t>
  </si>
  <si>
    <t>Cosmetiquera pequeña rosada Hello Kitty</t>
  </si>
  <si>
    <t>Bolso de compras Kuromi</t>
  </si>
  <si>
    <t>Neceser Hello Kitty</t>
  </si>
  <si>
    <t>Neceser Kuromi</t>
  </si>
  <si>
    <t>Lonchera térmica a rayas Hello Kitty</t>
  </si>
  <si>
    <t>Bolso grande de lona Hello Kitty</t>
  </si>
  <si>
    <t>Bolso de lona Hello Kityy</t>
  </si>
  <si>
    <t>Lonchera tèrmica rosada Hello kitty</t>
  </si>
  <si>
    <t>Cosmetiquera grande blanca</t>
  </si>
  <si>
    <t>Bolso de lona carita Hello Kitty</t>
  </si>
  <si>
    <t>Botiquin de tela Hello Kitty</t>
  </si>
  <si>
    <t>Reloj rosado niña Hello Kitty</t>
  </si>
  <si>
    <t>Bolso cafè Hello Kitty</t>
  </si>
  <si>
    <t>Aretes estrella con borla</t>
  </si>
  <si>
    <t xml:space="preserve">aretes </t>
  </si>
  <si>
    <t>Aretes luna y estrella</t>
  </si>
  <si>
    <t>Aretes flor blana</t>
  </si>
  <si>
    <t>Aretes de gato negro</t>
  </si>
  <si>
    <t>Anillos acero inoxidable nena</t>
  </si>
  <si>
    <t>Anillo de acero inoxidable</t>
  </si>
  <si>
    <t>Collar Hello Kitty rojo</t>
  </si>
  <si>
    <t>Juego pandora Hello Kitty</t>
  </si>
  <si>
    <t>Cadena plateada carita Hello Kitty</t>
  </si>
  <si>
    <t>Aretes corazón</t>
  </si>
  <si>
    <t>Aretes de estrella largos</t>
  </si>
  <si>
    <t>Pulsera pandora dorada Hello Kitty</t>
  </si>
  <si>
    <t>Cosmetiquera negra Hello Kitty</t>
  </si>
  <si>
    <t>llaveros pequeños Hello Kitty</t>
  </si>
  <si>
    <t>Estuche para labial con espejo</t>
  </si>
  <si>
    <t>Neceser grande Hello Kitty</t>
  </si>
  <si>
    <t>Cartera de mano Hello Kitty</t>
  </si>
  <si>
    <t>Espejo</t>
  </si>
  <si>
    <t>Espejo de mano Hello Kitty</t>
  </si>
  <si>
    <t>Billetera larga Hello Kitty</t>
  </si>
  <si>
    <t>Espeo plegable Hello Kitty</t>
  </si>
  <si>
    <t>Bolso de lona rosado con 2 Hello Kitty</t>
  </si>
  <si>
    <t>Bandolera Hello Kitty rosada pequeña</t>
  </si>
  <si>
    <t>Pulsera elastica Hello Kitty blanca</t>
  </si>
  <si>
    <t>Pulsera elastica Hello Kitty colores</t>
  </si>
  <si>
    <t>Cosmetiquera plegable rosada Hello Kitty</t>
  </si>
  <si>
    <t>Cadena dorada cuerpo Hello Kitty</t>
  </si>
  <si>
    <t>Bandolera pequeño rosado Hello Kitty</t>
  </si>
  <si>
    <t>Bolso rojo de lona</t>
  </si>
  <si>
    <t>Rent%</t>
  </si>
  <si>
    <t>Rent$</t>
  </si>
  <si>
    <t>Billetera pequeña Hello kitty</t>
  </si>
  <si>
    <t>Bolso cruzado rojo Hello Kitty</t>
  </si>
  <si>
    <t>Bolso cruzado blanco con negro</t>
  </si>
  <si>
    <t>Bolso de Mickey Mouse</t>
  </si>
  <si>
    <t>Llavero Hello Kitty</t>
  </si>
  <si>
    <t>Collar con nombre</t>
  </si>
  <si>
    <t>Conjunto de collar más aretes Hello Kitty</t>
  </si>
  <si>
    <t>Aretes corazón Hello Kitty</t>
  </si>
  <si>
    <t>Aretes Hello Kitty cuerpo entero</t>
  </si>
  <si>
    <t>Aretes Huevo Frito</t>
  </si>
  <si>
    <t>Anillo ajustable hoja</t>
  </si>
  <si>
    <t>Aretes pequeños Halloween</t>
  </si>
  <si>
    <t>Conjunto</t>
  </si>
  <si>
    <t>Aretes de raton con queso</t>
  </si>
  <si>
    <t>Octubre</t>
  </si>
  <si>
    <t>Cadena HelloKity plateada cara</t>
  </si>
  <si>
    <t>Pulsera elastica Hello Kitty</t>
  </si>
  <si>
    <t>Reloj Hello Kitty pulsera magnetica</t>
  </si>
  <si>
    <t>Reloj Hello Kitty blanco</t>
  </si>
  <si>
    <t>Juegp cadena con pulsera dorada Hello Kitty</t>
  </si>
  <si>
    <t>Diadema Gabyy la casa de  muc;ecas</t>
  </si>
  <si>
    <t>Colleccion de mu;ecos de Gabby</t>
  </si>
  <si>
    <t>Reloj Hello Kitty con lazo</t>
  </si>
  <si>
    <t>Bolso animal print negro Hello Kitty</t>
  </si>
  <si>
    <t>Bolso blanco grande con apliques Hello Kitty</t>
  </si>
  <si>
    <t>Bolso Mochila Hello Kitty</t>
  </si>
  <si>
    <t>Bolso de tela con cosmetiquera Hello Kitty</t>
  </si>
  <si>
    <t>Porta labiales con espejo Hello Kitty</t>
  </si>
  <si>
    <t>Diadema</t>
  </si>
  <si>
    <t>mu;ecos</t>
  </si>
  <si>
    <t>Portalabiales</t>
  </si>
  <si>
    <t>Aretes para ni;a</t>
  </si>
  <si>
    <t>Bolso negro reversible Hello Kitty</t>
  </si>
  <si>
    <t>Monedero Pata Daysi</t>
  </si>
  <si>
    <t>Aretes plateados con circonio</t>
  </si>
  <si>
    <t xml:space="preserve">Aretes negros </t>
  </si>
  <si>
    <t>Reloj Stich</t>
  </si>
  <si>
    <t>Billetera mine mouse</t>
  </si>
  <si>
    <t>Esferos Hello Kitty</t>
  </si>
  <si>
    <t>Espejo de maquillaje portatil Hello Kitty</t>
  </si>
  <si>
    <t>Billetera larga Hello Kitty blanca</t>
  </si>
  <si>
    <t>Mini monedero de lujo Hello Kitty</t>
  </si>
  <si>
    <t>Monedero Hello Kitty rosado con cierre</t>
  </si>
  <si>
    <t>Bolso delgado y largo Hello Kitty</t>
  </si>
  <si>
    <t>Bandolera rosada Hello Kitty</t>
  </si>
  <si>
    <t>Monedero rojo Hello Kitty</t>
  </si>
  <si>
    <t>Porta labial peque;o con espejo rojo</t>
  </si>
  <si>
    <t>Portla labial, bolso rosado con espejo</t>
  </si>
  <si>
    <t>Estuche para auidifonos Hello Kitty</t>
  </si>
  <si>
    <t>Billetera larga negra Hello Kitty</t>
  </si>
  <si>
    <t>Monedero, porta audifonos Hello Kitty</t>
  </si>
  <si>
    <t>Pendientes</t>
  </si>
  <si>
    <t>Billetera</t>
  </si>
  <si>
    <t>Estuche</t>
  </si>
  <si>
    <t>Resaltador</t>
  </si>
  <si>
    <t>Resaltadores tipo crayon</t>
  </si>
  <si>
    <t>Aretes peque;o de gato</t>
  </si>
  <si>
    <t>Reloj blanco Hello Kitty</t>
  </si>
  <si>
    <t>Reloj rojo Hello Kitty</t>
  </si>
  <si>
    <t xml:space="preserve">Monedero Hello Kity </t>
  </si>
  <si>
    <t>Parches para acné trasnparente</t>
  </si>
  <si>
    <t>Cosmetiquera Sanrio Blanca</t>
  </si>
  <si>
    <t>Cosmetiquera roja Hello Kitty</t>
  </si>
  <si>
    <t>Llaero tipo peluche Hello Kitty</t>
  </si>
  <si>
    <t>Bolso Blanco con cierre Hello Kitty</t>
  </si>
  <si>
    <t>Billetera con tajetero Hello Kitty</t>
  </si>
  <si>
    <t>Pulsera calavera</t>
  </si>
  <si>
    <t>Bolso, mochila plateado</t>
  </si>
  <si>
    <t>Mochila</t>
  </si>
  <si>
    <t>Mochila negra Hello kitty</t>
  </si>
  <si>
    <t>Mochila flores Hello Kitty</t>
  </si>
  <si>
    <t>Anillo mariposa acero inoxidable</t>
  </si>
  <si>
    <t>Collar con dije corazon azul</t>
  </si>
  <si>
    <t>Collar con corazon negro</t>
  </si>
  <si>
    <t>Conjunto de cadenas plateadas</t>
  </si>
  <si>
    <t>conjunto de cadena con aretes corazon negro</t>
  </si>
  <si>
    <t>conjunto de 3 cadenas negras gota</t>
  </si>
  <si>
    <t>Aretes de dinosaurio</t>
  </si>
  <si>
    <t>Bolso de hombro Sanrio</t>
  </si>
  <si>
    <t>Bolso de Jean</t>
  </si>
  <si>
    <t xml:space="preserve">Bandolera Hello Kitty </t>
  </si>
  <si>
    <t>Bolso cruzado rosado Hello Kitty</t>
  </si>
  <si>
    <t>Bolso peque;o cruzado negro y concho de vino</t>
  </si>
  <si>
    <t>Bolso cruzado blnaco Hello Kity</t>
  </si>
  <si>
    <t>Bolso de lona para ni;as Hello Kitty</t>
  </si>
  <si>
    <t>Mochila negra peque;a Hello Kitty</t>
  </si>
  <si>
    <t>Mini mochila crauzada para ni;a HK</t>
  </si>
  <si>
    <t>Mini Bolso minie para ni;a</t>
  </si>
  <si>
    <t>Bolso de lona grande Mickey mouse</t>
  </si>
  <si>
    <t>Mochila peque;a Mickey mouse</t>
  </si>
  <si>
    <t>Reloj Mickey Mouse</t>
  </si>
  <si>
    <t>Bolso de lona HK</t>
  </si>
  <si>
    <t xml:space="preserve">Bolso de hombro HK </t>
  </si>
  <si>
    <t>cartuchera blanca HK</t>
  </si>
  <si>
    <t>Monederos transparentes</t>
  </si>
  <si>
    <t>Resaltadores tipo crayon amarillos</t>
  </si>
  <si>
    <t>Llavero tipo peluche Hello Kitty</t>
  </si>
  <si>
    <t>Billetera huntrix</t>
  </si>
  <si>
    <t>Llavero giratorio Helllo Kitty</t>
  </si>
  <si>
    <t>Bolso peluche Hello Kitty</t>
  </si>
  <si>
    <t>Bolso negro</t>
  </si>
  <si>
    <t>Delantal Hello Kitty</t>
  </si>
  <si>
    <t>espoejo Hello Kitty</t>
  </si>
  <si>
    <t>Aretes largos Hello Kitty</t>
  </si>
  <si>
    <t>Resaltadores de gel x6</t>
  </si>
  <si>
    <t>Cordones para telefono</t>
  </si>
  <si>
    <t>Correa ajustable para telefono</t>
  </si>
  <si>
    <t>Noviembre</t>
  </si>
  <si>
    <t>Delantal</t>
  </si>
  <si>
    <t>aretes</t>
  </si>
  <si>
    <t>Cordones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</si>
</sst>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44" fontId="2" fillId="2" borderId="0" xfId="1" applyFont="1" applyFill="1"/>
    <xf numFmtId="44" fontId="0" fillId="2" borderId="0" xfId="1" applyFont="1" applyFill="1"/>
    <xf numFmtId="44" fontId="4" fillId="3" borderId="0" xfId="0" applyNumberFormat="1" applyFont="1" applyFill="1"/>
    <xf numFmtId="44" fontId="0" fillId="3" borderId="0" xfId="0" applyNumberFormat="1" applyFill="1"/>
    <xf numFmtId="44" fontId="6" fillId="4" borderId="0" xfId="0" applyNumberFormat="1" applyFont="1" applyFill="1"/>
    <xf numFmtId="44" fontId="7" fillId="0" borderId="0" xfId="1" applyFont="1" applyFill="1"/>
    <xf numFmtId="0" fontId="7" fillId="0" borderId="0" xfId="0" applyFont="1"/>
    <xf numFmtId="44" fontId="2" fillId="0" borderId="0" xfId="1" applyFont="1"/>
    <xf numFmtId="44" fontId="4" fillId="2" borderId="0" xfId="1" applyFont="1" applyFill="1"/>
    <xf numFmtId="9" fontId="8" fillId="5" borderId="0" xfId="2" applyFont="1" applyFill="1"/>
    <xf numFmtId="44" fontId="8" fillId="5" borderId="0" xfId="0" applyNumberFormat="1" applyFont="1" applyFill="1"/>
    <xf numFmtId="9" fontId="0" fillId="0" borderId="0" xfId="0" applyNumberFormat="1"/>
    <xf numFmtId="0" fontId="7" fillId="0" borderId="0" xfId="0" applyFont="1" applyFill="1"/>
    <xf numFmtId="44" fontId="0" fillId="0" borderId="0" xfId="1" applyNumberFormat="1" applyFont="1"/>
    <xf numFmtId="9" fontId="8" fillId="5" borderId="0" xfId="2" applyNumberFormat="1" applyFont="1" applyFill="1"/>
  </cellXfs>
  <cellStyles count="3">
    <cellStyle name="Moneda" xfId="1" builtinId="4"/>
    <cellStyle name="Normal" xfId="0" builtinId="0"/>
    <cellStyle name="Porcentaje" xfId="2" builtinId="5"/>
  </cellStyles>
  <dxfs count="18">
    <dxf>
      <numFmt numFmtId="34" formatCode="_ &quot;$&quot;* #,##0.00_ ;_ &quot;$&quot;* \-#,##0.00_ ;_ &quot;$&quot;* &quot;-&quot;??_ ;_ @_ 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  <fill>
        <patternFill patternType="solid">
          <fgColor indexed="64"/>
          <bgColor theme="5" tint="0.59999389629810485"/>
        </patternFill>
      </fill>
    </dxf>
    <dxf>
      <numFmt numFmtId="34" formatCode="_ &quot;$&quot;* #,##0.00_ ;_ &quot;$&quot;* \-#,##0.00_ ;_ &quot;$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Aptos Narrow"/>
        <family val="2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1"/>
        <color theme="3" tint="9.9978637043366805E-2"/>
        <name val="Aptos Narrow"/>
        <family val="2"/>
        <scheme val="minor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 &quot;$&quot;* #,##0.00_ ;_ &quot;$&quot;* \-#,##0.00_ ;_ &quot;$&quot;* &quot;-&quot;??_ ;_ @_ 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34" formatCode="_ &quot;$&quot;* #,##0.00_ ;_ &quot;$&quot;* \-#,##0.00_ ;_ &quot;$&quot;* &quot;-&quot;??_ ;_ @_ "/>
    </dxf>
    <dxf>
      <font>
        <b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 &quot;$&quot;* #,##0.00_ ;_ &quot;$&quot;* \-#,##0.00_ ;_ &quot;$&quot;* &quot;-&quot;??_ ;_ @_ "/>
    </dxf>
    <dxf>
      <font>
        <strike val="0"/>
        <outline val="0"/>
        <shadow val="0"/>
        <u val="none"/>
        <vertAlign val="baseline"/>
        <sz val="11"/>
        <color theme="1" tint="0.34998626667073579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6C001-DC4A-40EC-82C7-6C455ACE0409}" name="Tabla1" displayName="Tabla1" ref="B3:N288" totalsRowCount="1" headerRowDxfId="17">
  <autoFilter ref="B3:N287" xr:uid="{9306C001-DC4A-40EC-82C7-6C455ACE0409}"/>
  <sortState xmlns:xlrd2="http://schemas.microsoft.com/office/spreadsheetml/2017/richdata2" ref="C4:L18">
    <sortCondition ref="C3:C18"/>
  </sortState>
  <tableColumns count="13">
    <tableColumn id="11" xr3:uid="{400669C2-FF92-49F5-BAB9-C25118690D58}" name="Mes"/>
    <tableColumn id="10" xr3:uid="{9ADFD2EC-382C-452C-82E0-452A7F16306D}" name="Clasificación"/>
    <tableColumn id="9" xr3:uid="{AAE508C9-9D2D-4F73-AF52-0703DAECA59D}" name="Tipo"/>
    <tableColumn id="1" xr3:uid="{139C0876-9B2A-4040-9C30-1665D2EE019A}" name="DESCRIPCION" dataDxfId="16"/>
    <tableColumn id="2" xr3:uid="{136B6E5F-2F23-4E02-BCF9-998B43C4A7EA}" name="SUBTOTAL" totalsRowFunction="sum" dataDxfId="15" totalsRowDxfId="6" dataCellStyle="Moneda"/>
    <tableColumn id="3" xr3:uid="{F3D095EE-4BCD-4E4F-8EB6-8E8122E8F7DB}" name="UNIDADES" dataDxfId="14"/>
    <tableColumn id="4" xr3:uid="{9FCFDD11-ABF6-4F7C-A4C2-1387110890B3}" name="PRECIO U." dataDxfId="13" dataCellStyle="Moneda">
      <calculatedColumnFormula>IFERROR(F4/G4*1.2,"")</calculatedColumnFormula>
    </tableColumn>
    <tableColumn id="5" xr3:uid="{A7026CE7-9FD9-450B-BFB1-F071BC8B415D}" name="PVF" dataDxfId="12" totalsRowDxfId="5" dataCellStyle="Moneda"/>
    <tableColumn id="6" xr3:uid="{6EBCE0E6-CD00-4FB3-8999-12E2D13C21A0}" name="TOTAL PVP" totalsRowFunction="sum" dataDxfId="11" totalsRowDxfId="4">
      <calculatedColumnFormula>Tabla1[[#This Row],[PVF]]*Tabla1[[#This Row],[UNIDADES]]</calculatedColumnFormula>
    </tableColumn>
    <tableColumn id="7" xr3:uid="{A0592091-F7DE-4356-8644-5FBC1AC0C5CF}" name="EMP." dataDxfId="10" totalsRowDxfId="3" dataCellStyle="Moneda"/>
    <tableColumn id="8" xr3:uid="{47AD6657-BF7D-4B4A-8CF9-E28928C213A1}" name="PVP" dataDxfId="9" totalsRowDxfId="2">
      <calculatedColumnFormula>Tabla1[[#This Row],[EMP.]]+Tabla1[[#This Row],[PVF]]</calculatedColumnFormula>
    </tableColumn>
    <tableColumn id="12" xr3:uid="{B0DDAD44-6368-4707-BAB4-4B0137887B52}" name="Rent%" totalsRowFunction="average" dataDxfId="8" totalsRowDxfId="1" dataCellStyle="Porcentaje">
      <calculatedColumnFormula>IFERROR((Tabla1[[#This Row],[PVF]]-Tabla1[[#This Row],[PRECIO U.]])/Tabla1[[#This Row],[PRECIO U.]],"")</calculatedColumnFormula>
    </tableColumn>
    <tableColumn id="13" xr3:uid="{B32201E5-E150-45A4-9687-D2785F11BC89}" name="Rent$" totalsRowFunction="average" dataDxfId="7" totalsRowDxfId="0">
      <calculatedColumnFormula>IFERROR(Tabla1[[#This Row],[PVF]]-Tabla1[[#This Row],[PRECIO U.]],"")</calculatedColumnFormula>
    </tableColumn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C16F-74F5-4602-8B40-8282358EDA48}">
  <sheetPr>
    <pageSetUpPr fitToPage="1"/>
  </sheetPr>
  <dimension ref="B3:N288"/>
  <sheetViews>
    <sheetView showGridLines="0" tabSelected="1" topLeftCell="A260" zoomScale="80" workbookViewId="0">
      <selection activeCell="O268" sqref="O268"/>
    </sheetView>
  </sheetViews>
  <sheetFormatPr baseColWidth="10" defaultColWidth="10.7109375" defaultRowHeight="15.75" x14ac:dyDescent="0.25"/>
  <cols>
    <col min="1" max="1" width="3.7109375" customWidth="1"/>
    <col min="2" max="2" width="11.5703125" customWidth="1"/>
    <col min="3" max="3" width="14" style="1" customWidth="1"/>
    <col min="4" max="4" width="15.7109375" customWidth="1"/>
    <col min="5" max="5" width="38.42578125" style="1" bestFit="1" customWidth="1"/>
    <col min="6" max="6" width="14.7109375" style="1" customWidth="1"/>
    <col min="7" max="7" width="9" customWidth="1"/>
    <col min="8" max="8" width="15.7109375" style="1" customWidth="1"/>
    <col min="9" max="9" width="9.7109375" style="5" customWidth="1"/>
    <col min="10" max="10" width="15" customWidth="1"/>
    <col min="11" max="11" width="13.7109375" customWidth="1"/>
    <col min="12" max="12" width="9.42578125" bestFit="1" customWidth="1"/>
    <col min="13" max="13" width="21" bestFit="1" customWidth="1"/>
    <col min="14" max="14" width="12.140625" bestFit="1" customWidth="1"/>
  </cols>
  <sheetData>
    <row r="3" spans="2:14" s="3" customFormat="1" x14ac:dyDescent="0.25">
      <c r="B3" s="3" t="s">
        <v>36</v>
      </c>
      <c r="C3" s="3" t="s">
        <v>33</v>
      </c>
      <c r="D3" s="3" t="s">
        <v>23</v>
      </c>
      <c r="E3" s="3" t="s">
        <v>17</v>
      </c>
      <c r="F3" s="4" t="s">
        <v>2</v>
      </c>
      <c r="G3" s="3" t="s">
        <v>3</v>
      </c>
      <c r="H3" s="4" t="s">
        <v>19</v>
      </c>
      <c r="I3" s="4" t="s">
        <v>21</v>
      </c>
      <c r="J3" s="3" t="s">
        <v>20</v>
      </c>
      <c r="K3" s="4" t="s">
        <v>22</v>
      </c>
      <c r="L3" s="6" t="s">
        <v>18</v>
      </c>
      <c r="M3" s="3" t="s">
        <v>211</v>
      </c>
      <c r="N3" s="3" t="s">
        <v>212</v>
      </c>
    </row>
    <row r="4" spans="2:14" x14ac:dyDescent="0.25">
      <c r="B4" t="s">
        <v>37</v>
      </c>
      <c r="C4" t="s">
        <v>35</v>
      </c>
      <c r="D4" t="s">
        <v>28</v>
      </c>
      <c r="E4" s="7" t="s">
        <v>9</v>
      </c>
      <c r="F4" s="13">
        <v>3.89</v>
      </c>
      <c r="G4" s="14">
        <v>1</v>
      </c>
      <c r="H4" s="1">
        <f t="shared" ref="H4:H35" si="0">IFERROR(F4/G4*1.2,"")</f>
        <v>4.6680000000000001</v>
      </c>
      <c r="I4" s="8">
        <v>8</v>
      </c>
      <c r="J4" s="2">
        <f>Tabla1[[#This Row],[PVF]]*Tabla1[[#This Row],[UNIDADES]]</f>
        <v>8</v>
      </c>
      <c r="K4" s="9">
        <v>0</v>
      </c>
      <c r="L4" s="10">
        <f>Tabla1[[#This Row],[EMP.]]+Tabla1[[#This Row],[PVF]]</f>
        <v>8</v>
      </c>
      <c r="M4" s="17">
        <f>IFERROR((Tabla1[[#This Row],[PVF]]-Tabla1[[#This Row],[PRECIO U.]])/Tabla1[[#This Row],[PRECIO U.]],"")</f>
        <v>0.71379605826906589</v>
      </c>
      <c r="N4" s="18">
        <f>IFERROR(Tabla1[[#This Row],[PVF]]-Tabla1[[#This Row],[PRECIO U.]],"")</f>
        <v>3.3319999999999999</v>
      </c>
    </row>
    <row r="5" spans="2:14" x14ac:dyDescent="0.25">
      <c r="B5" t="s">
        <v>37</v>
      </c>
      <c r="C5" t="s">
        <v>35</v>
      </c>
      <c r="D5" t="s">
        <v>28</v>
      </c>
      <c r="E5" s="7" t="s">
        <v>10</v>
      </c>
      <c r="F5" s="13">
        <v>5.6</v>
      </c>
      <c r="G5" s="14">
        <v>1</v>
      </c>
      <c r="H5" s="1">
        <f t="shared" si="0"/>
        <v>6.72</v>
      </c>
      <c r="I5" s="8">
        <v>10</v>
      </c>
      <c r="J5" s="2">
        <f>Tabla1[[#This Row],[PVF]]*Tabla1[[#This Row],[UNIDADES]]</f>
        <v>10</v>
      </c>
      <c r="K5" s="9">
        <v>0</v>
      </c>
      <c r="L5" s="10">
        <f>Tabla1[[#This Row],[EMP.]]+Tabla1[[#This Row],[PVF]]</f>
        <v>10</v>
      </c>
      <c r="M5" s="17">
        <f>IFERROR((Tabla1[[#This Row],[PVF]]-Tabla1[[#This Row],[PRECIO U.]])/Tabla1[[#This Row],[PRECIO U.]],"")</f>
        <v>0.48809523809523814</v>
      </c>
      <c r="N5" s="18">
        <f>IFERROR(Tabla1[[#This Row],[PVF]]-Tabla1[[#This Row],[PRECIO U.]],"")</f>
        <v>3.2800000000000002</v>
      </c>
    </row>
    <row r="6" spans="2:14" x14ac:dyDescent="0.25">
      <c r="B6" t="s">
        <v>37</v>
      </c>
      <c r="C6" t="s">
        <v>35</v>
      </c>
      <c r="D6" t="s">
        <v>28</v>
      </c>
      <c r="E6" s="7" t="s">
        <v>12</v>
      </c>
      <c r="F6" s="13">
        <v>4.8</v>
      </c>
      <c r="G6" s="14">
        <v>1</v>
      </c>
      <c r="H6" s="1">
        <f t="shared" si="0"/>
        <v>5.76</v>
      </c>
      <c r="I6" s="8">
        <v>10</v>
      </c>
      <c r="J6" s="2">
        <f>Tabla1[[#This Row],[PVF]]*Tabla1[[#This Row],[UNIDADES]]</f>
        <v>10</v>
      </c>
      <c r="K6" s="9">
        <v>0</v>
      </c>
      <c r="L6" s="10">
        <f>Tabla1[[#This Row],[EMP.]]+Tabla1[[#This Row],[PVF]]</f>
        <v>10</v>
      </c>
      <c r="M6" s="17">
        <f>IFERROR((Tabla1[[#This Row],[PVF]]-Tabla1[[#This Row],[PRECIO U.]])/Tabla1[[#This Row],[PRECIO U.]],"")</f>
        <v>0.73611111111111116</v>
      </c>
      <c r="N6" s="18">
        <f>IFERROR(Tabla1[[#This Row],[PVF]]-Tabla1[[#This Row],[PRECIO U.]],"")</f>
        <v>4.24</v>
      </c>
    </row>
    <row r="7" spans="2:14" x14ac:dyDescent="0.25">
      <c r="B7" t="s">
        <v>37</v>
      </c>
      <c r="C7" t="s">
        <v>35</v>
      </c>
      <c r="D7" t="s">
        <v>28</v>
      </c>
      <c r="E7" s="7" t="s">
        <v>11</v>
      </c>
      <c r="F7" s="13">
        <v>7.88</v>
      </c>
      <c r="G7" s="14">
        <v>1</v>
      </c>
      <c r="H7" s="1">
        <f t="shared" si="0"/>
        <v>9.4559999999999995</v>
      </c>
      <c r="I7" s="8">
        <v>12</v>
      </c>
      <c r="J7" s="2">
        <f>Tabla1[[#This Row],[PVF]]*Tabla1[[#This Row],[UNIDADES]]</f>
        <v>12</v>
      </c>
      <c r="K7" s="9">
        <v>0</v>
      </c>
      <c r="L7" s="10">
        <f>Tabla1[[#This Row],[EMP.]]+Tabla1[[#This Row],[PVF]]</f>
        <v>12</v>
      </c>
      <c r="M7" s="17">
        <f>IFERROR((Tabla1[[#This Row],[PVF]]-Tabla1[[#This Row],[PRECIO U.]])/Tabla1[[#This Row],[PRECIO U.]],"")</f>
        <v>0.26903553299492394</v>
      </c>
      <c r="N7" s="18">
        <f>IFERROR(Tabla1[[#This Row],[PVF]]-Tabla1[[#This Row],[PRECIO U.]],"")</f>
        <v>2.5440000000000005</v>
      </c>
    </row>
    <row r="8" spans="2:14" x14ac:dyDescent="0.25">
      <c r="B8" t="s">
        <v>37</v>
      </c>
      <c r="C8" t="s">
        <v>35</v>
      </c>
      <c r="D8" t="s">
        <v>28</v>
      </c>
      <c r="E8" s="7" t="s">
        <v>16</v>
      </c>
      <c r="F8" s="13">
        <v>8.0299999999999994</v>
      </c>
      <c r="G8" s="14">
        <v>1</v>
      </c>
      <c r="H8" s="1">
        <f t="shared" si="0"/>
        <v>9.6359999999999992</v>
      </c>
      <c r="I8" s="8">
        <v>12</v>
      </c>
      <c r="J8" s="2">
        <f>Tabla1[[#This Row],[PVF]]*Tabla1[[#This Row],[UNIDADES]]</f>
        <v>12</v>
      </c>
      <c r="K8" s="9">
        <v>0</v>
      </c>
      <c r="L8" s="10">
        <f>Tabla1[[#This Row],[EMP.]]+Tabla1[[#This Row],[PVF]]</f>
        <v>12</v>
      </c>
      <c r="M8" s="17">
        <f>IFERROR((Tabla1[[#This Row],[PVF]]-Tabla1[[#This Row],[PRECIO U.]])/Tabla1[[#This Row],[PRECIO U.]],"")</f>
        <v>0.24533001245330022</v>
      </c>
      <c r="N8" s="18">
        <f>IFERROR(Tabla1[[#This Row],[PVF]]-Tabla1[[#This Row],[PRECIO U.]],"")</f>
        <v>2.3640000000000008</v>
      </c>
    </row>
    <row r="9" spans="2:14" x14ac:dyDescent="0.25">
      <c r="B9" t="s">
        <v>37</v>
      </c>
      <c r="C9" t="s">
        <v>35</v>
      </c>
      <c r="D9" t="s">
        <v>27</v>
      </c>
      <c r="E9" s="7" t="s">
        <v>8</v>
      </c>
      <c r="F9" s="13">
        <v>1.78</v>
      </c>
      <c r="G9" s="14">
        <v>1</v>
      </c>
      <c r="H9" s="1">
        <f t="shared" si="0"/>
        <v>2.1360000000000001</v>
      </c>
      <c r="I9" s="8">
        <v>4</v>
      </c>
      <c r="J9" s="2">
        <f>Tabla1[[#This Row],[PVF]]*Tabla1[[#This Row],[UNIDADES]]</f>
        <v>4</v>
      </c>
      <c r="K9" s="9">
        <v>0</v>
      </c>
      <c r="L9" s="10">
        <f>Tabla1[[#This Row],[EMP.]]+Tabla1[[#This Row],[PVF]]</f>
        <v>4</v>
      </c>
      <c r="M9" s="17">
        <f>IFERROR((Tabla1[[#This Row],[PVF]]-Tabla1[[#This Row],[PRECIO U.]])/Tabla1[[#This Row],[PRECIO U.]],"")</f>
        <v>0.87265917602996246</v>
      </c>
      <c r="N9" s="18">
        <f>IFERROR(Tabla1[[#This Row],[PVF]]-Tabla1[[#This Row],[PRECIO U.]],"")</f>
        <v>1.8639999999999999</v>
      </c>
    </row>
    <row r="10" spans="2:14" x14ac:dyDescent="0.25">
      <c r="B10" t="s">
        <v>37</v>
      </c>
      <c r="C10" t="s">
        <v>34</v>
      </c>
      <c r="D10" t="s">
        <v>25</v>
      </c>
      <c r="E10" s="7" t="s">
        <v>1</v>
      </c>
      <c r="F10" s="13">
        <f>3.63*2</f>
        <v>7.26</v>
      </c>
      <c r="G10" s="14">
        <v>20</v>
      </c>
      <c r="H10" s="1">
        <f t="shared" si="0"/>
        <v>0.43559999999999999</v>
      </c>
      <c r="I10" s="8">
        <v>1</v>
      </c>
      <c r="J10" s="2">
        <f>Tabla1[[#This Row],[PVF]]*Tabla1[[#This Row],[UNIDADES]]</f>
        <v>20</v>
      </c>
      <c r="K10" s="9">
        <v>0</v>
      </c>
      <c r="L10" s="10">
        <f>Tabla1[[#This Row],[EMP.]]+Tabla1[[#This Row],[PVF]]</f>
        <v>1</v>
      </c>
      <c r="M10" s="17">
        <f>IFERROR((Tabla1[[#This Row],[PVF]]-Tabla1[[#This Row],[PRECIO U.]])/Tabla1[[#This Row],[PRECIO U.]],"")</f>
        <v>1.2956841138659321</v>
      </c>
      <c r="N10" s="18">
        <f>IFERROR(Tabla1[[#This Row],[PVF]]-Tabla1[[#This Row],[PRECIO U.]],"")</f>
        <v>0.56440000000000001</v>
      </c>
    </row>
    <row r="11" spans="2:14" x14ac:dyDescent="0.25">
      <c r="B11" t="s">
        <v>37</v>
      </c>
      <c r="C11" t="s">
        <v>34</v>
      </c>
      <c r="D11" t="s">
        <v>25</v>
      </c>
      <c r="E11" s="7" t="s">
        <v>5</v>
      </c>
      <c r="F11" s="13">
        <v>2.5099999999999998</v>
      </c>
      <c r="G11" s="14">
        <v>10</v>
      </c>
      <c r="H11" s="1">
        <f t="shared" si="0"/>
        <v>0.30119999999999997</v>
      </c>
      <c r="I11" s="8">
        <v>1</v>
      </c>
      <c r="J11" s="2">
        <f>Tabla1[[#This Row],[PVF]]*Tabla1[[#This Row],[UNIDADES]]</f>
        <v>10</v>
      </c>
      <c r="K11" s="9">
        <v>0</v>
      </c>
      <c r="L11" s="10">
        <f>Tabla1[[#This Row],[EMP.]]+Tabla1[[#This Row],[PVF]]</f>
        <v>1</v>
      </c>
      <c r="M11" s="17">
        <f>IFERROR((Tabla1[[#This Row],[PVF]]-Tabla1[[#This Row],[PRECIO U.]])/Tabla1[[#This Row],[PRECIO U.]],"")</f>
        <v>2.3200531208499342</v>
      </c>
      <c r="N11" s="18">
        <f>IFERROR(Tabla1[[#This Row],[PVF]]-Tabla1[[#This Row],[PRECIO U.]],"")</f>
        <v>0.69880000000000009</v>
      </c>
    </row>
    <row r="12" spans="2:14" x14ac:dyDescent="0.25">
      <c r="B12" t="s">
        <v>37</v>
      </c>
      <c r="C12" t="s">
        <v>34</v>
      </c>
      <c r="D12" t="s">
        <v>25</v>
      </c>
      <c r="E12" s="7" t="s">
        <v>14</v>
      </c>
      <c r="F12" s="13">
        <v>3.65</v>
      </c>
      <c r="G12" s="14">
        <v>10</v>
      </c>
      <c r="H12" s="1">
        <f t="shared" si="0"/>
        <v>0.438</v>
      </c>
      <c r="I12" s="8">
        <v>1</v>
      </c>
      <c r="J12" s="2">
        <f>Tabla1[[#This Row],[PVF]]*Tabla1[[#This Row],[UNIDADES]]</f>
        <v>10</v>
      </c>
      <c r="K12" s="9">
        <v>0</v>
      </c>
      <c r="L12" s="10">
        <f>Tabla1[[#This Row],[EMP.]]+Tabla1[[#This Row],[PVF]]</f>
        <v>1</v>
      </c>
      <c r="M12" s="17">
        <f>IFERROR((Tabla1[[#This Row],[PVF]]-Tabla1[[#This Row],[PRECIO U.]])/Tabla1[[#This Row],[PRECIO U.]],"")</f>
        <v>1.2831050228310503</v>
      </c>
      <c r="N12" s="18">
        <f>IFERROR(Tabla1[[#This Row],[PVF]]-Tabla1[[#This Row],[PRECIO U.]],"")</f>
        <v>0.56200000000000006</v>
      </c>
    </row>
    <row r="13" spans="2:14" x14ac:dyDescent="0.25">
      <c r="B13" t="s">
        <v>37</v>
      </c>
      <c r="C13" t="s">
        <v>34</v>
      </c>
      <c r="D13" t="s">
        <v>31</v>
      </c>
      <c r="E13" s="7" t="s">
        <v>15</v>
      </c>
      <c r="F13" s="13">
        <f>1.39*2</f>
        <v>2.78</v>
      </c>
      <c r="G13" s="14">
        <v>2</v>
      </c>
      <c r="H13" s="1">
        <f t="shared" si="0"/>
        <v>1.6679999999999999</v>
      </c>
      <c r="I13" s="8">
        <v>4</v>
      </c>
      <c r="J13" s="2">
        <f>Tabla1[[#This Row],[PVF]]*Tabla1[[#This Row],[UNIDADES]]</f>
        <v>8</v>
      </c>
      <c r="K13" s="9">
        <v>1</v>
      </c>
      <c r="L13" s="10">
        <f>Tabla1[[#This Row],[EMP.]]+Tabla1[[#This Row],[PVF]]</f>
        <v>5</v>
      </c>
      <c r="M13" s="17">
        <f>IFERROR((Tabla1[[#This Row],[PVF]]-Tabla1[[#This Row],[PRECIO U.]])/Tabla1[[#This Row],[PRECIO U.]],"")</f>
        <v>1.3980815347721822</v>
      </c>
      <c r="N13" s="18">
        <f>IFERROR(Tabla1[[#This Row],[PVF]]-Tabla1[[#This Row],[PRECIO U.]],"")</f>
        <v>2.3319999999999999</v>
      </c>
    </row>
    <row r="14" spans="2:14" x14ac:dyDescent="0.25">
      <c r="B14" t="s">
        <v>37</v>
      </c>
      <c r="C14" t="s">
        <v>34</v>
      </c>
      <c r="D14" t="s">
        <v>30</v>
      </c>
      <c r="E14" s="7" t="s">
        <v>7</v>
      </c>
      <c r="F14" s="13">
        <v>1.91</v>
      </c>
      <c r="G14" s="14">
        <v>2</v>
      </c>
      <c r="H14" s="1">
        <f t="shared" si="0"/>
        <v>1.1459999999999999</v>
      </c>
      <c r="I14" s="8">
        <v>3</v>
      </c>
      <c r="J14" s="2">
        <f>Tabla1[[#This Row],[PVF]]*Tabla1[[#This Row],[UNIDADES]]</f>
        <v>6</v>
      </c>
      <c r="K14" s="9">
        <v>1</v>
      </c>
      <c r="L14" s="10">
        <f>Tabla1[[#This Row],[EMP.]]+Tabla1[[#This Row],[PVF]]</f>
        <v>4</v>
      </c>
      <c r="M14" s="17">
        <f>IFERROR((Tabla1[[#This Row],[PVF]]-Tabla1[[#This Row],[PRECIO U.]])/Tabla1[[#This Row],[PRECIO U.]],"")</f>
        <v>1.6178010471204192</v>
      </c>
      <c r="N14" s="18">
        <f>IFERROR(Tabla1[[#This Row],[PVF]]-Tabla1[[#This Row],[PRECIO U.]],"")</f>
        <v>1.8540000000000001</v>
      </c>
    </row>
    <row r="15" spans="2:14" x14ac:dyDescent="0.25">
      <c r="B15" t="s">
        <v>37</v>
      </c>
      <c r="C15" t="s">
        <v>34</v>
      </c>
      <c r="D15" t="s">
        <v>24</v>
      </c>
      <c r="E15" s="7" t="s">
        <v>4</v>
      </c>
      <c r="F15" s="13">
        <v>1.62</v>
      </c>
      <c r="G15" s="14">
        <v>12</v>
      </c>
      <c r="H15" s="1">
        <f t="shared" si="0"/>
        <v>0.16200000000000001</v>
      </c>
      <c r="I15" s="8">
        <v>0.5</v>
      </c>
      <c r="J15" s="2">
        <f>Tabla1[[#This Row],[PVF]]*Tabla1[[#This Row],[UNIDADES]]</f>
        <v>6</v>
      </c>
      <c r="K15" s="9">
        <v>0</v>
      </c>
      <c r="L15" s="10">
        <f>Tabla1[[#This Row],[EMP.]]+Tabla1[[#This Row],[PVF]]</f>
        <v>0.5</v>
      </c>
      <c r="M15" s="17">
        <f>IFERROR((Tabla1[[#This Row],[PVF]]-Tabla1[[#This Row],[PRECIO U.]])/Tabla1[[#This Row],[PRECIO U.]],"")</f>
        <v>2.0864197530864197</v>
      </c>
      <c r="N15" s="18">
        <f>IFERROR(Tabla1[[#This Row],[PVF]]-Tabla1[[#This Row],[PRECIO U.]],"")</f>
        <v>0.33799999999999997</v>
      </c>
    </row>
    <row r="16" spans="2:14" x14ac:dyDescent="0.25">
      <c r="B16" t="s">
        <v>37</v>
      </c>
      <c r="C16" t="s">
        <v>34</v>
      </c>
      <c r="D16" t="s">
        <v>26</v>
      </c>
      <c r="E16" s="7" t="s">
        <v>6</v>
      </c>
      <c r="F16" s="13">
        <v>5.55</v>
      </c>
      <c r="G16" s="14">
        <v>10</v>
      </c>
      <c r="H16" s="1">
        <f t="shared" si="0"/>
        <v>0.66599999999999993</v>
      </c>
      <c r="I16" s="8">
        <v>1.5</v>
      </c>
      <c r="J16" s="2">
        <f>Tabla1[[#This Row],[PVF]]*Tabla1[[#This Row],[UNIDADES]]</f>
        <v>15</v>
      </c>
      <c r="K16" s="9">
        <v>0.5</v>
      </c>
      <c r="L16" s="10">
        <f>Tabla1[[#This Row],[EMP.]]+Tabla1[[#This Row],[PVF]]</f>
        <v>2</v>
      </c>
      <c r="M16" s="17">
        <f>IFERROR((Tabla1[[#This Row],[PVF]]-Tabla1[[#This Row],[PRECIO U.]])/Tabla1[[#This Row],[PRECIO U.]],"")</f>
        <v>1.2522522522522526</v>
      </c>
      <c r="N16" s="18">
        <f>IFERROR(Tabla1[[#This Row],[PVF]]-Tabla1[[#This Row],[PRECIO U.]],"")</f>
        <v>0.83400000000000007</v>
      </c>
    </row>
    <row r="17" spans="2:14" x14ac:dyDescent="0.25">
      <c r="B17" t="s">
        <v>37</v>
      </c>
      <c r="C17" t="s">
        <v>34</v>
      </c>
      <c r="D17" t="s">
        <v>26</v>
      </c>
      <c r="E17" s="7" t="s">
        <v>0</v>
      </c>
      <c r="F17" s="13">
        <v>0.77</v>
      </c>
      <c r="G17" s="14">
        <v>1</v>
      </c>
      <c r="H17" s="1">
        <f t="shared" si="0"/>
        <v>0.92399999999999993</v>
      </c>
      <c r="I17" s="8">
        <v>2.5</v>
      </c>
      <c r="J17" s="2">
        <f>Tabla1[[#This Row],[PVF]]*Tabla1[[#This Row],[UNIDADES]]</f>
        <v>2.5</v>
      </c>
      <c r="K17" s="9">
        <v>0.5</v>
      </c>
      <c r="L17" s="10">
        <f>Tabla1[[#This Row],[EMP.]]+Tabla1[[#This Row],[PVF]]</f>
        <v>3</v>
      </c>
      <c r="M17" s="17">
        <f>IFERROR((Tabla1[[#This Row],[PVF]]-Tabla1[[#This Row],[PRECIO U.]])/Tabla1[[#This Row],[PRECIO U.]],"")</f>
        <v>1.7056277056277058</v>
      </c>
      <c r="N17" s="18">
        <f>IFERROR(Tabla1[[#This Row],[PVF]]-Tabla1[[#This Row],[PRECIO U.]],"")</f>
        <v>1.5760000000000001</v>
      </c>
    </row>
    <row r="18" spans="2:14" x14ac:dyDescent="0.25">
      <c r="B18" t="s">
        <v>37</v>
      </c>
      <c r="C18" t="s">
        <v>32</v>
      </c>
      <c r="D18" t="s">
        <v>29</v>
      </c>
      <c r="E18" s="7" t="s">
        <v>13</v>
      </c>
      <c r="F18" s="13">
        <v>5.88</v>
      </c>
      <c r="G18" s="14">
        <v>1</v>
      </c>
      <c r="H18" s="1">
        <f t="shared" si="0"/>
        <v>7.056</v>
      </c>
      <c r="I18" s="8">
        <v>12</v>
      </c>
      <c r="J18" s="2">
        <f>Tabla1[[#This Row],[PVF]]*Tabla1[[#This Row],[UNIDADES]]</f>
        <v>12</v>
      </c>
      <c r="K18" s="9">
        <v>0</v>
      </c>
      <c r="L18" s="10">
        <f>Tabla1[[#This Row],[EMP.]]+Tabla1[[#This Row],[PVF]]</f>
        <v>12</v>
      </c>
      <c r="M18" s="17">
        <f>IFERROR((Tabla1[[#This Row],[PVF]]-Tabla1[[#This Row],[PRECIO U.]])/Tabla1[[#This Row],[PRECIO U.]],"")</f>
        <v>0.70068027210884354</v>
      </c>
      <c r="N18" s="18">
        <f>IFERROR(Tabla1[[#This Row],[PVF]]-Tabla1[[#This Row],[PRECIO U.]],"")</f>
        <v>4.944</v>
      </c>
    </row>
    <row r="19" spans="2:14" x14ac:dyDescent="0.25">
      <c r="B19" t="s">
        <v>38</v>
      </c>
      <c r="C19" t="s">
        <v>34</v>
      </c>
      <c r="D19" t="s">
        <v>39</v>
      </c>
      <c r="E19" s="7" t="s">
        <v>46</v>
      </c>
      <c r="F19" s="13">
        <v>3.44</v>
      </c>
      <c r="G19" s="14">
        <v>1</v>
      </c>
      <c r="H19" s="1">
        <f t="shared" si="0"/>
        <v>4.1280000000000001</v>
      </c>
      <c r="I19" s="8">
        <v>6</v>
      </c>
      <c r="J19" s="2">
        <f>Tabla1[[#This Row],[PVF]]*Tabla1[[#This Row],[UNIDADES]]</f>
        <v>6</v>
      </c>
      <c r="K19" s="9">
        <v>0.5</v>
      </c>
      <c r="L19" s="10">
        <f>Tabla1[[#This Row],[EMP.]]+Tabla1[[#This Row],[PVF]]</f>
        <v>6.5</v>
      </c>
      <c r="M19" s="17">
        <f>IFERROR((Tabla1[[#This Row],[PVF]]-Tabla1[[#This Row],[PRECIO U.]])/Tabla1[[#This Row],[PRECIO U.]],"")</f>
        <v>0.45348837209302323</v>
      </c>
      <c r="N19" s="18">
        <f>IFERROR(Tabla1[[#This Row],[PVF]]-Tabla1[[#This Row],[PRECIO U.]],"")</f>
        <v>1.8719999999999999</v>
      </c>
    </row>
    <row r="20" spans="2:14" x14ac:dyDescent="0.25">
      <c r="B20" t="s">
        <v>38</v>
      </c>
      <c r="C20" t="s">
        <v>34</v>
      </c>
      <c r="D20" t="s">
        <v>39</v>
      </c>
      <c r="E20" s="7" t="s">
        <v>40</v>
      </c>
      <c r="F20" s="13">
        <v>1.9</v>
      </c>
      <c r="G20" s="14">
        <v>1</v>
      </c>
      <c r="H20" s="1">
        <f t="shared" si="0"/>
        <v>2.2799999999999998</v>
      </c>
      <c r="I20" s="8">
        <v>3</v>
      </c>
      <c r="J20" s="2">
        <f>Tabla1[[#This Row],[PVF]]*Tabla1[[#This Row],[UNIDADES]]</f>
        <v>3</v>
      </c>
      <c r="K20" s="9">
        <v>0.5</v>
      </c>
      <c r="L20" s="10">
        <f>Tabla1[[#This Row],[EMP.]]+Tabla1[[#This Row],[PVF]]</f>
        <v>3.5</v>
      </c>
      <c r="M20" s="17">
        <f>IFERROR((Tabla1[[#This Row],[PVF]]-Tabla1[[#This Row],[PRECIO U.]])/Tabla1[[#This Row],[PRECIO U.]],"")</f>
        <v>0.31578947368421062</v>
      </c>
      <c r="N20" s="18">
        <f>IFERROR(Tabla1[[#This Row],[PVF]]-Tabla1[[#This Row],[PRECIO U.]],"")</f>
        <v>0.7200000000000002</v>
      </c>
    </row>
    <row r="21" spans="2:14" x14ac:dyDescent="0.25">
      <c r="B21" t="s">
        <v>38</v>
      </c>
      <c r="C21" t="s">
        <v>34</v>
      </c>
      <c r="D21" t="s">
        <v>39</v>
      </c>
      <c r="E21" s="7" t="s">
        <v>41</v>
      </c>
      <c r="F21" s="13">
        <v>1.85</v>
      </c>
      <c r="G21" s="14">
        <v>1</v>
      </c>
      <c r="H21" s="1">
        <f t="shared" si="0"/>
        <v>2.2200000000000002</v>
      </c>
      <c r="I21" s="8">
        <v>3</v>
      </c>
      <c r="J21" s="2">
        <f>Tabla1[[#This Row],[PVF]]*Tabla1[[#This Row],[UNIDADES]]</f>
        <v>3</v>
      </c>
      <c r="K21" s="9">
        <v>0.5</v>
      </c>
      <c r="L21" s="10">
        <f>Tabla1[[#This Row],[EMP.]]+Tabla1[[#This Row],[PVF]]</f>
        <v>3.5</v>
      </c>
      <c r="M21" s="17">
        <f>IFERROR((Tabla1[[#This Row],[PVF]]-Tabla1[[#This Row],[PRECIO U.]])/Tabla1[[#This Row],[PRECIO U.]],"")</f>
        <v>0.35135135135135126</v>
      </c>
      <c r="N21" s="18">
        <f>IFERROR(Tabla1[[#This Row],[PVF]]-Tabla1[[#This Row],[PRECIO U.]],"")</f>
        <v>0.7799999999999998</v>
      </c>
    </row>
    <row r="22" spans="2:14" x14ac:dyDescent="0.25">
      <c r="B22" t="s">
        <v>38</v>
      </c>
      <c r="C22" t="s">
        <v>34</v>
      </c>
      <c r="D22" t="s">
        <v>39</v>
      </c>
      <c r="E22" s="7" t="s">
        <v>42</v>
      </c>
      <c r="F22" s="13">
        <v>1.47</v>
      </c>
      <c r="G22" s="14">
        <v>1</v>
      </c>
      <c r="H22" s="1">
        <f t="shared" si="0"/>
        <v>1.764</v>
      </c>
      <c r="I22" s="8">
        <v>3</v>
      </c>
      <c r="J22" s="2">
        <f>Tabla1[[#This Row],[PVF]]*Tabla1[[#This Row],[UNIDADES]]</f>
        <v>3</v>
      </c>
      <c r="K22" s="9">
        <v>0.5</v>
      </c>
      <c r="L22" s="10">
        <f>Tabla1[[#This Row],[EMP.]]+Tabla1[[#This Row],[PVF]]</f>
        <v>3.5</v>
      </c>
      <c r="M22" s="17">
        <f>IFERROR((Tabla1[[#This Row],[PVF]]-Tabla1[[#This Row],[PRECIO U.]])/Tabla1[[#This Row],[PRECIO U.]],"")</f>
        <v>0.70068027210884354</v>
      </c>
      <c r="N22" s="18">
        <f>IFERROR(Tabla1[[#This Row],[PVF]]-Tabla1[[#This Row],[PRECIO U.]],"")</f>
        <v>1.236</v>
      </c>
    </row>
    <row r="23" spans="2:14" x14ac:dyDescent="0.25">
      <c r="B23" t="s">
        <v>38</v>
      </c>
      <c r="C23" t="s">
        <v>34</v>
      </c>
      <c r="D23" t="s">
        <v>39</v>
      </c>
      <c r="E23" s="7" t="s">
        <v>43</v>
      </c>
      <c r="F23" s="13">
        <v>1.68</v>
      </c>
      <c r="G23" s="14">
        <v>1</v>
      </c>
      <c r="H23" s="1">
        <f t="shared" si="0"/>
        <v>2.016</v>
      </c>
      <c r="I23" s="8">
        <v>3</v>
      </c>
      <c r="J23" s="2">
        <f>Tabla1[[#This Row],[PVF]]*Tabla1[[#This Row],[UNIDADES]]</f>
        <v>3</v>
      </c>
      <c r="K23" s="9">
        <v>0.5</v>
      </c>
      <c r="L23" s="10">
        <f>Tabla1[[#This Row],[EMP.]]+Tabla1[[#This Row],[PVF]]</f>
        <v>3.5</v>
      </c>
      <c r="M23" s="17">
        <f>IFERROR((Tabla1[[#This Row],[PVF]]-Tabla1[[#This Row],[PRECIO U.]])/Tabla1[[#This Row],[PRECIO U.]],"")</f>
        <v>0.48809523809523808</v>
      </c>
      <c r="N23" s="18">
        <f>IFERROR(Tabla1[[#This Row],[PVF]]-Tabla1[[#This Row],[PRECIO U.]],"")</f>
        <v>0.98399999999999999</v>
      </c>
    </row>
    <row r="24" spans="2:14" x14ac:dyDescent="0.25">
      <c r="B24" t="s">
        <v>38</v>
      </c>
      <c r="C24" t="s">
        <v>34</v>
      </c>
      <c r="D24" t="s">
        <v>39</v>
      </c>
      <c r="E24" s="7" t="s">
        <v>44</v>
      </c>
      <c r="F24" s="13">
        <v>1.33</v>
      </c>
      <c r="G24" s="14">
        <v>1</v>
      </c>
      <c r="H24" s="1">
        <f t="shared" si="0"/>
        <v>1.5960000000000001</v>
      </c>
      <c r="I24" s="8">
        <v>2.5</v>
      </c>
      <c r="J24" s="2">
        <f>Tabla1[[#This Row],[PVF]]*Tabla1[[#This Row],[UNIDADES]]</f>
        <v>2.5</v>
      </c>
      <c r="K24" s="9">
        <v>0.5</v>
      </c>
      <c r="L24" s="10">
        <f>Tabla1[[#This Row],[EMP.]]+Tabla1[[#This Row],[PVF]]</f>
        <v>3</v>
      </c>
      <c r="M24" s="17">
        <f>IFERROR((Tabla1[[#This Row],[PVF]]-Tabla1[[#This Row],[PRECIO U.]])/Tabla1[[#This Row],[PRECIO U.]],"")</f>
        <v>0.5664160401002506</v>
      </c>
      <c r="N24" s="18">
        <f>IFERROR(Tabla1[[#This Row],[PVF]]-Tabla1[[#This Row],[PRECIO U.]],"")</f>
        <v>0.90399999999999991</v>
      </c>
    </row>
    <row r="25" spans="2:14" x14ac:dyDescent="0.25">
      <c r="B25" t="s">
        <v>38</v>
      </c>
      <c r="C25" t="s">
        <v>34</v>
      </c>
      <c r="D25" t="s">
        <v>39</v>
      </c>
      <c r="E25" s="7" t="s">
        <v>45</v>
      </c>
      <c r="F25" s="13">
        <v>1.5</v>
      </c>
      <c r="G25" s="14">
        <v>6</v>
      </c>
      <c r="H25" s="1">
        <f t="shared" si="0"/>
        <v>0.3</v>
      </c>
      <c r="I25" s="8">
        <v>0.75</v>
      </c>
      <c r="J25" s="2">
        <f>Tabla1[[#This Row],[PVF]]*Tabla1[[#This Row],[UNIDADES]]</f>
        <v>4.5</v>
      </c>
      <c r="K25" s="9">
        <v>0</v>
      </c>
      <c r="L25" s="10">
        <f>Tabla1[[#This Row],[EMP.]]+Tabla1[[#This Row],[PVF]]</f>
        <v>0.75</v>
      </c>
      <c r="M25" s="17">
        <f>IFERROR((Tabla1[[#This Row],[PVF]]-Tabla1[[#This Row],[PRECIO U.]])/Tabla1[[#This Row],[PRECIO U.]],"")</f>
        <v>1.5</v>
      </c>
      <c r="N25" s="18">
        <f>IFERROR(Tabla1[[#This Row],[PVF]]-Tabla1[[#This Row],[PRECIO U.]],"")</f>
        <v>0.45</v>
      </c>
    </row>
    <row r="26" spans="2:14" x14ac:dyDescent="0.25">
      <c r="B26" t="s">
        <v>38</v>
      </c>
      <c r="C26" t="s">
        <v>34</v>
      </c>
      <c r="D26" t="s">
        <v>39</v>
      </c>
      <c r="E26" s="7" t="s">
        <v>47</v>
      </c>
      <c r="F26" s="13">
        <v>2.6</v>
      </c>
      <c r="G26" s="14">
        <v>1</v>
      </c>
      <c r="H26" s="1">
        <f t="shared" si="0"/>
        <v>3.12</v>
      </c>
      <c r="I26" s="8">
        <v>4</v>
      </c>
      <c r="J26" s="2">
        <f>Tabla1[[#This Row],[PVF]]*Tabla1[[#This Row],[UNIDADES]]</f>
        <v>4</v>
      </c>
      <c r="K26" s="9">
        <v>0.5</v>
      </c>
      <c r="L26" s="10">
        <f>Tabla1[[#This Row],[EMP.]]+Tabla1[[#This Row],[PVF]]</f>
        <v>4.5</v>
      </c>
      <c r="M26" s="17">
        <f>IFERROR((Tabla1[[#This Row],[PVF]]-Tabla1[[#This Row],[PRECIO U.]])/Tabla1[[#This Row],[PRECIO U.]],"")</f>
        <v>0.28205128205128199</v>
      </c>
      <c r="N26" s="18">
        <f>IFERROR(Tabla1[[#This Row],[PVF]]-Tabla1[[#This Row],[PRECIO U.]],"")</f>
        <v>0.87999999999999989</v>
      </c>
    </row>
    <row r="27" spans="2:14" x14ac:dyDescent="0.25">
      <c r="B27" t="s">
        <v>38</v>
      </c>
      <c r="C27" t="s">
        <v>35</v>
      </c>
      <c r="D27" t="s">
        <v>28</v>
      </c>
      <c r="E27" s="7" t="s">
        <v>48</v>
      </c>
      <c r="F27" s="13">
        <v>3.99</v>
      </c>
      <c r="G27" s="14">
        <v>1</v>
      </c>
      <c r="H27" s="1">
        <f t="shared" si="0"/>
        <v>4.7880000000000003</v>
      </c>
      <c r="I27" s="8">
        <v>8</v>
      </c>
      <c r="J27" s="2">
        <f>Tabla1[[#This Row],[PVF]]*Tabla1[[#This Row],[UNIDADES]]</f>
        <v>8</v>
      </c>
      <c r="K27" s="9">
        <v>0</v>
      </c>
      <c r="L27" s="10">
        <f>Tabla1[[#This Row],[EMP.]]+Tabla1[[#This Row],[PVF]]</f>
        <v>8</v>
      </c>
      <c r="M27" s="17">
        <f>IFERROR((Tabla1[[#This Row],[PVF]]-Tabla1[[#This Row],[PRECIO U.]])/Tabla1[[#This Row],[PRECIO U.]],"")</f>
        <v>0.67084377610693391</v>
      </c>
      <c r="N27" s="18">
        <f>IFERROR(Tabla1[[#This Row],[PVF]]-Tabla1[[#This Row],[PRECIO U.]],"")</f>
        <v>3.2119999999999997</v>
      </c>
    </row>
    <row r="28" spans="2:14" x14ac:dyDescent="0.25">
      <c r="B28" t="s">
        <v>38</v>
      </c>
      <c r="C28" t="s">
        <v>35</v>
      </c>
      <c r="D28" t="s">
        <v>28</v>
      </c>
      <c r="E28" s="7" t="s">
        <v>49</v>
      </c>
      <c r="F28" s="13">
        <v>6.85</v>
      </c>
      <c r="G28" s="14">
        <v>1</v>
      </c>
      <c r="H28" s="1">
        <f t="shared" si="0"/>
        <v>8.2199999999999989</v>
      </c>
      <c r="I28" s="8">
        <v>10</v>
      </c>
      <c r="J28" s="2">
        <f>Tabla1[[#This Row],[PVF]]*Tabla1[[#This Row],[UNIDADES]]</f>
        <v>10</v>
      </c>
      <c r="K28" s="9">
        <v>0</v>
      </c>
      <c r="L28" s="10">
        <f>Tabla1[[#This Row],[EMP.]]+Tabla1[[#This Row],[PVF]]</f>
        <v>10</v>
      </c>
      <c r="M28" s="17">
        <f>IFERROR((Tabla1[[#This Row],[PVF]]-Tabla1[[#This Row],[PRECIO U.]])/Tabla1[[#This Row],[PRECIO U.]],"")</f>
        <v>0.2165450121654503</v>
      </c>
      <c r="N28" s="18">
        <f>IFERROR(Tabla1[[#This Row],[PVF]]-Tabla1[[#This Row],[PRECIO U.]],"")</f>
        <v>1.7800000000000011</v>
      </c>
    </row>
    <row r="29" spans="2:14" x14ac:dyDescent="0.25">
      <c r="B29" t="s">
        <v>38</v>
      </c>
      <c r="C29" t="s">
        <v>35</v>
      </c>
      <c r="D29" t="s">
        <v>51</v>
      </c>
      <c r="E29" s="7" t="s">
        <v>50</v>
      </c>
      <c r="F29" s="13">
        <v>2.77</v>
      </c>
      <c r="G29" s="14">
        <v>6</v>
      </c>
      <c r="H29" s="1">
        <f t="shared" si="0"/>
        <v>0.55399999999999994</v>
      </c>
      <c r="I29" s="8">
        <v>1</v>
      </c>
      <c r="J29" s="2">
        <f>Tabla1[[#This Row],[PVF]]*Tabla1[[#This Row],[UNIDADES]]</f>
        <v>6</v>
      </c>
      <c r="K29" s="9">
        <v>0</v>
      </c>
      <c r="L29" s="10">
        <f>Tabla1[[#This Row],[EMP.]]+Tabla1[[#This Row],[PVF]]</f>
        <v>1</v>
      </c>
      <c r="M29" s="17">
        <f>IFERROR((Tabla1[[#This Row],[PVF]]-Tabla1[[#This Row],[PRECIO U.]])/Tabla1[[#This Row],[PRECIO U.]],"")</f>
        <v>0.80505415162454896</v>
      </c>
      <c r="N29" s="18">
        <f>IFERROR(Tabla1[[#This Row],[PVF]]-Tabla1[[#This Row],[PRECIO U.]],"")</f>
        <v>0.44600000000000006</v>
      </c>
    </row>
    <row r="30" spans="2:14" x14ac:dyDescent="0.25">
      <c r="B30" t="s">
        <v>38</v>
      </c>
      <c r="C30" t="s">
        <v>34</v>
      </c>
      <c r="D30" t="s">
        <v>24</v>
      </c>
      <c r="E30" s="7" t="s">
        <v>52</v>
      </c>
      <c r="F30" s="13">
        <v>0.77</v>
      </c>
      <c r="G30" s="14">
        <v>1</v>
      </c>
      <c r="H30" s="1">
        <f t="shared" si="0"/>
        <v>0.92399999999999993</v>
      </c>
      <c r="I30" s="8">
        <v>2</v>
      </c>
      <c r="J30" s="2">
        <f>Tabla1[[#This Row],[PVF]]*Tabla1[[#This Row],[UNIDADES]]</f>
        <v>2</v>
      </c>
      <c r="K30" s="9">
        <v>0</v>
      </c>
      <c r="L30" s="10">
        <f>Tabla1[[#This Row],[EMP.]]+Tabla1[[#This Row],[PVF]]</f>
        <v>2</v>
      </c>
      <c r="M30" s="17">
        <f>IFERROR((Tabla1[[#This Row],[PVF]]-Tabla1[[#This Row],[PRECIO U.]])/Tabla1[[#This Row],[PRECIO U.]],"")</f>
        <v>1.1645021645021647</v>
      </c>
      <c r="N30" s="18">
        <f>IFERROR(Tabla1[[#This Row],[PVF]]-Tabla1[[#This Row],[PRECIO U.]],"")</f>
        <v>1.0760000000000001</v>
      </c>
    </row>
    <row r="31" spans="2:14" x14ac:dyDescent="0.25">
      <c r="B31" t="s">
        <v>38</v>
      </c>
      <c r="C31" t="s">
        <v>35</v>
      </c>
      <c r="D31" t="s">
        <v>28</v>
      </c>
      <c r="E31" s="7" t="s">
        <v>53</v>
      </c>
      <c r="F31" s="13">
        <v>2.77</v>
      </c>
      <c r="G31" s="14">
        <v>1</v>
      </c>
      <c r="H31" s="1">
        <f t="shared" si="0"/>
        <v>3.3239999999999998</v>
      </c>
      <c r="I31" s="8">
        <v>6</v>
      </c>
      <c r="J31" s="2">
        <f>Tabla1[[#This Row],[PVF]]*Tabla1[[#This Row],[UNIDADES]]</f>
        <v>6</v>
      </c>
      <c r="K31" s="9">
        <v>0</v>
      </c>
      <c r="L31" s="10">
        <f>Tabla1[[#This Row],[EMP.]]+Tabla1[[#This Row],[PVF]]</f>
        <v>6</v>
      </c>
      <c r="M31" s="17">
        <f>IFERROR((Tabla1[[#This Row],[PVF]]-Tabla1[[#This Row],[PRECIO U.]])/Tabla1[[#This Row],[PRECIO U.]],"")</f>
        <v>0.80505415162454885</v>
      </c>
      <c r="N31" s="18">
        <f>IFERROR(Tabla1[[#This Row],[PVF]]-Tabla1[[#This Row],[PRECIO U.]],"")</f>
        <v>2.6760000000000002</v>
      </c>
    </row>
    <row r="32" spans="2:14" x14ac:dyDescent="0.25">
      <c r="B32" t="s">
        <v>38</v>
      </c>
      <c r="C32" t="s">
        <v>35</v>
      </c>
      <c r="D32" t="s">
        <v>28</v>
      </c>
      <c r="E32" s="7" t="s">
        <v>54</v>
      </c>
      <c r="F32" s="13">
        <v>4.43</v>
      </c>
      <c r="G32" s="14">
        <v>1</v>
      </c>
      <c r="H32" s="1">
        <f t="shared" si="0"/>
        <v>5.3159999999999998</v>
      </c>
      <c r="I32" s="8">
        <v>7</v>
      </c>
      <c r="J32" s="2">
        <f>Tabla1[[#This Row],[PVF]]*Tabla1[[#This Row],[UNIDADES]]</f>
        <v>7</v>
      </c>
      <c r="K32" s="9">
        <v>0</v>
      </c>
      <c r="L32" s="10">
        <f>Tabla1[[#This Row],[EMP.]]+Tabla1[[#This Row],[PVF]]</f>
        <v>7</v>
      </c>
      <c r="M32" s="17">
        <f>IFERROR((Tabla1[[#This Row],[PVF]]-Tabla1[[#This Row],[PRECIO U.]])/Tabla1[[#This Row],[PRECIO U.]],"")</f>
        <v>0.31677953348382248</v>
      </c>
      <c r="N32" s="18">
        <f>IFERROR(Tabla1[[#This Row],[PVF]]-Tabla1[[#This Row],[PRECIO U.]],"")</f>
        <v>1.6840000000000002</v>
      </c>
    </row>
    <row r="33" spans="2:14" x14ac:dyDescent="0.25">
      <c r="B33" t="s">
        <v>38</v>
      </c>
      <c r="C33" t="s">
        <v>35</v>
      </c>
      <c r="D33" t="s">
        <v>28</v>
      </c>
      <c r="E33" s="7" t="s">
        <v>55</v>
      </c>
      <c r="F33" s="13">
        <v>2.77</v>
      </c>
      <c r="G33" s="14">
        <v>1</v>
      </c>
      <c r="H33" s="1">
        <f t="shared" si="0"/>
        <v>3.3239999999999998</v>
      </c>
      <c r="I33" s="8">
        <v>4</v>
      </c>
      <c r="J33" s="2">
        <f>Tabla1[[#This Row],[PVF]]*Tabla1[[#This Row],[UNIDADES]]</f>
        <v>4</v>
      </c>
      <c r="K33" s="9">
        <v>0</v>
      </c>
      <c r="L33" s="10">
        <f>Tabla1[[#This Row],[EMP.]]+Tabla1[[#This Row],[PVF]]</f>
        <v>4</v>
      </c>
      <c r="M33" s="17">
        <f>IFERROR((Tabla1[[#This Row],[PVF]]-Tabla1[[#This Row],[PRECIO U.]])/Tabla1[[#This Row],[PRECIO U.]],"")</f>
        <v>0.20336943441636587</v>
      </c>
      <c r="N33" s="18">
        <f>IFERROR(Tabla1[[#This Row],[PVF]]-Tabla1[[#This Row],[PRECIO U.]],"")</f>
        <v>0.67600000000000016</v>
      </c>
    </row>
    <row r="34" spans="2:14" x14ac:dyDescent="0.25">
      <c r="B34" t="s">
        <v>38</v>
      </c>
      <c r="C34" t="s">
        <v>34</v>
      </c>
      <c r="D34" t="s">
        <v>26</v>
      </c>
      <c r="E34" s="7" t="s">
        <v>56</v>
      </c>
      <c r="F34" s="13">
        <v>0.85</v>
      </c>
      <c r="G34" s="14">
        <v>1</v>
      </c>
      <c r="H34" s="1">
        <f t="shared" si="0"/>
        <v>1.02</v>
      </c>
      <c r="I34" s="8">
        <v>2</v>
      </c>
      <c r="J34" s="2">
        <f>Tabla1[[#This Row],[PVF]]*Tabla1[[#This Row],[UNIDADES]]</f>
        <v>2</v>
      </c>
      <c r="K34" s="9">
        <v>0</v>
      </c>
      <c r="L34" s="10">
        <f>Tabla1[[#This Row],[EMP.]]+Tabla1[[#This Row],[PVF]]</f>
        <v>2</v>
      </c>
      <c r="M34" s="17">
        <f>IFERROR((Tabla1[[#This Row],[PVF]]-Tabla1[[#This Row],[PRECIO U.]])/Tabla1[[#This Row],[PRECIO U.]],"")</f>
        <v>0.96078431372549011</v>
      </c>
      <c r="N34" s="18">
        <f>IFERROR(Tabla1[[#This Row],[PVF]]-Tabla1[[#This Row],[PRECIO U.]],"")</f>
        <v>0.98</v>
      </c>
    </row>
    <row r="35" spans="2:14" x14ac:dyDescent="0.25">
      <c r="B35" t="s">
        <v>38</v>
      </c>
      <c r="C35" t="s">
        <v>34</v>
      </c>
      <c r="D35" t="s">
        <v>26</v>
      </c>
      <c r="E35" s="7" t="s">
        <v>57</v>
      </c>
      <c r="F35" s="13">
        <v>1.1200000000000001</v>
      </c>
      <c r="G35" s="14">
        <v>1</v>
      </c>
      <c r="H35" s="1">
        <f t="shared" si="0"/>
        <v>1.3440000000000001</v>
      </c>
      <c r="I35" s="8">
        <v>2.5</v>
      </c>
      <c r="J35" s="2">
        <f>Tabla1[[#This Row],[PVF]]*Tabla1[[#This Row],[UNIDADES]]</f>
        <v>2.5</v>
      </c>
      <c r="K35" s="9">
        <v>0.5</v>
      </c>
      <c r="L35" s="10">
        <f>Tabla1[[#This Row],[EMP.]]+Tabla1[[#This Row],[PVF]]</f>
        <v>3</v>
      </c>
      <c r="M35" s="17">
        <f>IFERROR((Tabla1[[#This Row],[PVF]]-Tabla1[[#This Row],[PRECIO U.]])/Tabla1[[#This Row],[PRECIO U.]],"")</f>
        <v>0.86011904761904745</v>
      </c>
      <c r="N35" s="18">
        <f>IFERROR(Tabla1[[#This Row],[PVF]]-Tabla1[[#This Row],[PRECIO U.]],"")</f>
        <v>1.1559999999999999</v>
      </c>
    </row>
    <row r="36" spans="2:14" x14ac:dyDescent="0.25">
      <c r="B36" t="s">
        <v>38</v>
      </c>
      <c r="C36" t="s">
        <v>35</v>
      </c>
      <c r="D36" t="s">
        <v>58</v>
      </c>
      <c r="E36" s="7" t="s">
        <v>59</v>
      </c>
      <c r="F36" s="13">
        <v>1.77</v>
      </c>
      <c r="G36" s="14">
        <v>1</v>
      </c>
      <c r="H36" s="1">
        <f t="shared" ref="H36:H67" si="1">IFERROR(F36/G36*1.2,"")</f>
        <v>2.1240000000000001</v>
      </c>
      <c r="I36" s="8">
        <v>3</v>
      </c>
      <c r="J36" s="2">
        <f>Tabla1[[#This Row],[PVF]]*Tabla1[[#This Row],[UNIDADES]]</f>
        <v>3</v>
      </c>
      <c r="K36" s="9">
        <v>0</v>
      </c>
      <c r="L36" s="10">
        <f>Tabla1[[#This Row],[EMP.]]+Tabla1[[#This Row],[PVF]]</f>
        <v>3</v>
      </c>
      <c r="M36" s="17">
        <f>IFERROR((Tabla1[[#This Row],[PVF]]-Tabla1[[#This Row],[PRECIO U.]])/Tabla1[[#This Row],[PRECIO U.]],"")</f>
        <v>0.41242937853107337</v>
      </c>
      <c r="N36" s="18">
        <f>IFERROR(Tabla1[[#This Row],[PVF]]-Tabla1[[#This Row],[PRECIO U.]],"")</f>
        <v>0.87599999999999989</v>
      </c>
    </row>
    <row r="37" spans="2:14" x14ac:dyDescent="0.25">
      <c r="B37" t="s">
        <v>38</v>
      </c>
      <c r="C37" t="s">
        <v>35</v>
      </c>
      <c r="D37" t="s">
        <v>51</v>
      </c>
      <c r="E37" s="7" t="s">
        <v>60</v>
      </c>
      <c r="F37" s="13">
        <v>1.21</v>
      </c>
      <c r="G37" s="14">
        <v>1</v>
      </c>
      <c r="H37" s="1">
        <f t="shared" si="1"/>
        <v>1.452</v>
      </c>
      <c r="I37" s="8">
        <v>2.5</v>
      </c>
      <c r="J37" s="2">
        <f>Tabla1[[#This Row],[PVF]]*Tabla1[[#This Row],[UNIDADES]]</f>
        <v>2.5</v>
      </c>
      <c r="K37" s="9">
        <v>0</v>
      </c>
      <c r="L37" s="10">
        <f>Tabla1[[#This Row],[EMP.]]+Tabla1[[#This Row],[PVF]]</f>
        <v>2.5</v>
      </c>
      <c r="M37" s="17">
        <f>IFERROR((Tabla1[[#This Row],[PVF]]-Tabla1[[#This Row],[PRECIO U.]])/Tabla1[[#This Row],[PRECIO U.]],"")</f>
        <v>0.72176308539944911</v>
      </c>
      <c r="N37" s="18">
        <f>IFERROR(Tabla1[[#This Row],[PVF]]-Tabla1[[#This Row],[PRECIO U.]],"")</f>
        <v>1.048</v>
      </c>
    </row>
    <row r="38" spans="2:14" x14ac:dyDescent="0.25">
      <c r="B38" t="s">
        <v>38</v>
      </c>
      <c r="C38" t="s">
        <v>35</v>
      </c>
      <c r="D38" t="s">
        <v>28</v>
      </c>
      <c r="E38" s="7" t="s">
        <v>61</v>
      </c>
      <c r="F38" s="13">
        <v>4.43</v>
      </c>
      <c r="G38" s="14">
        <v>1</v>
      </c>
      <c r="H38" s="1">
        <f t="shared" si="1"/>
        <v>5.3159999999999998</v>
      </c>
      <c r="I38" s="8">
        <v>7</v>
      </c>
      <c r="J38" s="2">
        <f>Tabla1[[#This Row],[PVF]]*Tabla1[[#This Row],[UNIDADES]]</f>
        <v>7</v>
      </c>
      <c r="K38" s="9">
        <v>0</v>
      </c>
      <c r="L38" s="10">
        <f>Tabla1[[#This Row],[EMP.]]+Tabla1[[#This Row],[PVF]]</f>
        <v>7</v>
      </c>
      <c r="M38" s="17">
        <f>IFERROR((Tabla1[[#This Row],[PVF]]-Tabla1[[#This Row],[PRECIO U.]])/Tabla1[[#This Row],[PRECIO U.]],"")</f>
        <v>0.31677953348382248</v>
      </c>
      <c r="N38" s="18">
        <f>IFERROR(Tabla1[[#This Row],[PVF]]-Tabla1[[#This Row],[PRECIO U.]],"")</f>
        <v>1.6840000000000002</v>
      </c>
    </row>
    <row r="39" spans="2:14" x14ac:dyDescent="0.25">
      <c r="B39" t="s">
        <v>38</v>
      </c>
      <c r="C39" t="s">
        <v>34</v>
      </c>
      <c r="D39" t="s">
        <v>30</v>
      </c>
      <c r="E39" s="7" t="s">
        <v>62</v>
      </c>
      <c r="F39" s="13">
        <v>1.78</v>
      </c>
      <c r="G39" s="14">
        <v>1</v>
      </c>
      <c r="H39" s="1">
        <f t="shared" si="1"/>
        <v>2.1360000000000001</v>
      </c>
      <c r="I39" s="8">
        <v>3</v>
      </c>
      <c r="J39" s="2">
        <f>Tabla1[[#This Row],[PVF]]*Tabla1[[#This Row],[UNIDADES]]</f>
        <v>3</v>
      </c>
      <c r="K39" s="9">
        <v>1</v>
      </c>
      <c r="L39" s="10">
        <f>Tabla1[[#This Row],[EMP.]]+Tabla1[[#This Row],[PVF]]</f>
        <v>4</v>
      </c>
      <c r="M39" s="17">
        <f>IFERROR((Tabla1[[#This Row],[PVF]]-Tabla1[[#This Row],[PRECIO U.]])/Tabla1[[#This Row],[PRECIO U.]],"")</f>
        <v>0.40449438202247184</v>
      </c>
      <c r="N39" s="18">
        <f>IFERROR(Tabla1[[#This Row],[PVF]]-Tabla1[[#This Row],[PRECIO U.]],"")</f>
        <v>0.86399999999999988</v>
      </c>
    </row>
    <row r="40" spans="2:14" x14ac:dyDescent="0.25">
      <c r="B40" t="s">
        <v>38</v>
      </c>
      <c r="C40" t="s">
        <v>35</v>
      </c>
      <c r="D40" t="s">
        <v>28</v>
      </c>
      <c r="E40" s="7" t="s">
        <v>63</v>
      </c>
      <c r="F40" s="13">
        <v>4.83</v>
      </c>
      <c r="G40" s="14">
        <v>1</v>
      </c>
      <c r="H40" s="1">
        <f t="shared" si="1"/>
        <v>5.7960000000000003</v>
      </c>
      <c r="I40" s="8">
        <v>10</v>
      </c>
      <c r="J40" s="2">
        <f>Tabla1[[#This Row],[PVF]]*Tabla1[[#This Row],[UNIDADES]]</f>
        <v>10</v>
      </c>
      <c r="K40" s="9">
        <v>0</v>
      </c>
      <c r="L40" s="10">
        <f>Tabla1[[#This Row],[EMP.]]+Tabla1[[#This Row],[PVF]]</f>
        <v>10</v>
      </c>
      <c r="M40" s="17">
        <f>IFERROR((Tabla1[[#This Row],[PVF]]-Tabla1[[#This Row],[PRECIO U.]])/Tabla1[[#This Row],[PRECIO U.]],"")</f>
        <v>0.72532781228433396</v>
      </c>
      <c r="N40" s="18">
        <f>IFERROR(Tabla1[[#This Row],[PVF]]-Tabla1[[#This Row],[PRECIO U.]],"")</f>
        <v>4.2039999999999997</v>
      </c>
    </row>
    <row r="41" spans="2:14" x14ac:dyDescent="0.25">
      <c r="B41" t="s">
        <v>38</v>
      </c>
      <c r="C41" t="s">
        <v>64</v>
      </c>
      <c r="D41" t="s">
        <v>65</v>
      </c>
      <c r="E41" s="7" t="s">
        <v>66</v>
      </c>
      <c r="F41" s="13">
        <v>3.26</v>
      </c>
      <c r="G41" s="14">
        <v>12</v>
      </c>
      <c r="H41" s="1">
        <f t="shared" si="1"/>
        <v>0.32600000000000001</v>
      </c>
      <c r="I41" s="8">
        <v>0.5</v>
      </c>
      <c r="J41" s="2">
        <f>Tabla1[[#This Row],[PVF]]*Tabla1[[#This Row],[UNIDADES]]</f>
        <v>6</v>
      </c>
      <c r="K41" s="9">
        <v>0</v>
      </c>
      <c r="L41" s="10">
        <f>Tabla1[[#This Row],[EMP.]]+Tabla1[[#This Row],[PVF]]</f>
        <v>0.5</v>
      </c>
      <c r="M41" s="17">
        <f>IFERROR((Tabla1[[#This Row],[PVF]]-Tabla1[[#This Row],[PRECIO U.]])/Tabla1[[#This Row],[PRECIO U.]],"")</f>
        <v>0.53374233128834347</v>
      </c>
      <c r="N41" s="18">
        <f>IFERROR(Tabla1[[#This Row],[PVF]]-Tabla1[[#This Row],[PRECIO U.]],"")</f>
        <v>0.17399999999999999</v>
      </c>
    </row>
    <row r="42" spans="2:14" x14ac:dyDescent="0.25">
      <c r="B42" t="s">
        <v>38</v>
      </c>
      <c r="C42" t="s">
        <v>67</v>
      </c>
      <c r="D42" t="s">
        <v>68</v>
      </c>
      <c r="E42" s="7" t="s">
        <v>69</v>
      </c>
      <c r="F42" s="13">
        <v>4.3499999999999996</v>
      </c>
      <c r="G42" s="14">
        <v>1</v>
      </c>
      <c r="H42" s="1">
        <f t="shared" si="1"/>
        <v>5.22</v>
      </c>
      <c r="I42" s="8">
        <v>7</v>
      </c>
      <c r="J42" s="2">
        <f>Tabla1[[#This Row],[PVF]]*Tabla1[[#This Row],[UNIDADES]]</f>
        <v>7</v>
      </c>
      <c r="K42" s="9">
        <v>0</v>
      </c>
      <c r="L42" s="10">
        <f>Tabla1[[#This Row],[EMP.]]+Tabla1[[#This Row],[PVF]]</f>
        <v>7</v>
      </c>
      <c r="M42" s="17">
        <f>IFERROR((Tabla1[[#This Row],[PVF]]-Tabla1[[#This Row],[PRECIO U.]])/Tabla1[[#This Row],[PRECIO U.]],"")</f>
        <v>0.34099616858237553</v>
      </c>
      <c r="N42" s="18">
        <f>IFERROR(Tabla1[[#This Row],[PVF]]-Tabla1[[#This Row],[PRECIO U.]],"")</f>
        <v>1.7800000000000002</v>
      </c>
    </row>
    <row r="43" spans="2:14" x14ac:dyDescent="0.25">
      <c r="B43" t="s">
        <v>38</v>
      </c>
      <c r="C43" t="s">
        <v>70</v>
      </c>
      <c r="D43" t="s">
        <v>71</v>
      </c>
      <c r="E43" s="7" t="s">
        <v>72</v>
      </c>
      <c r="F43" s="13">
        <v>1.75</v>
      </c>
      <c r="G43" s="14">
        <v>18</v>
      </c>
      <c r="H43" s="1">
        <f t="shared" si="1"/>
        <v>0.11666666666666667</v>
      </c>
      <c r="I43" s="8">
        <v>0.5</v>
      </c>
      <c r="J43" s="2">
        <f>Tabla1[[#This Row],[PVF]]*Tabla1[[#This Row],[UNIDADES]]</f>
        <v>9</v>
      </c>
      <c r="K43" s="9">
        <v>0</v>
      </c>
      <c r="L43" s="10">
        <f>Tabla1[[#This Row],[EMP.]]+Tabla1[[#This Row],[PVF]]</f>
        <v>0.5</v>
      </c>
      <c r="M43" s="17">
        <f>IFERROR((Tabla1[[#This Row],[PVF]]-Tabla1[[#This Row],[PRECIO U.]])/Tabla1[[#This Row],[PRECIO U.]],"")</f>
        <v>3.2857142857142856</v>
      </c>
      <c r="N43" s="18">
        <f>IFERROR(Tabla1[[#This Row],[PVF]]-Tabla1[[#This Row],[PRECIO U.]],"")</f>
        <v>0.3833333333333333</v>
      </c>
    </row>
    <row r="44" spans="2:14" x14ac:dyDescent="0.25">
      <c r="B44" t="s">
        <v>38</v>
      </c>
      <c r="C44" t="s">
        <v>64</v>
      </c>
      <c r="D44" t="s">
        <v>73</v>
      </c>
      <c r="E44" s="7" t="s">
        <v>74</v>
      </c>
      <c r="F44" s="13">
        <v>1.5</v>
      </c>
      <c r="G44" s="14">
        <v>40</v>
      </c>
      <c r="H44" s="1">
        <f t="shared" si="1"/>
        <v>4.4999999999999998E-2</v>
      </c>
      <c r="I44" s="8">
        <v>0.15</v>
      </c>
      <c r="J44" s="2">
        <f>Tabla1[[#This Row],[PVF]]*Tabla1[[#This Row],[UNIDADES]]</f>
        <v>6</v>
      </c>
      <c r="K44" s="9">
        <v>0</v>
      </c>
      <c r="L44" s="10">
        <f>Tabla1[[#This Row],[EMP.]]+Tabla1[[#This Row],[PVF]]</f>
        <v>0.15</v>
      </c>
      <c r="M44" s="17">
        <f>IFERROR((Tabla1[[#This Row],[PVF]]-Tabla1[[#This Row],[PRECIO U.]])/Tabla1[[#This Row],[PRECIO U.]],"")</f>
        <v>2.3333333333333335</v>
      </c>
      <c r="N44" s="18">
        <f>IFERROR(Tabla1[[#This Row],[PVF]]-Tabla1[[#This Row],[PRECIO U.]],"")</f>
        <v>0.105</v>
      </c>
    </row>
    <row r="45" spans="2:14" x14ac:dyDescent="0.25">
      <c r="B45" t="s">
        <v>38</v>
      </c>
      <c r="C45" t="s">
        <v>34</v>
      </c>
      <c r="D45" t="s">
        <v>39</v>
      </c>
      <c r="E45" s="7" t="s">
        <v>75</v>
      </c>
      <c r="F45" s="13">
        <v>6.44</v>
      </c>
      <c r="G45" s="14">
        <v>7</v>
      </c>
      <c r="H45" s="1">
        <f t="shared" si="1"/>
        <v>1.1040000000000001</v>
      </c>
      <c r="I45" s="8">
        <v>2</v>
      </c>
      <c r="J45" s="2">
        <f>Tabla1[[#This Row],[PVF]]*Tabla1[[#This Row],[UNIDADES]]</f>
        <v>14</v>
      </c>
      <c r="K45" s="9">
        <v>0.5</v>
      </c>
      <c r="L45" s="10">
        <f>Tabla1[[#This Row],[EMP.]]+Tabla1[[#This Row],[PVF]]</f>
        <v>2.5</v>
      </c>
      <c r="M45" s="17">
        <f>IFERROR((Tabla1[[#This Row],[PVF]]-Tabla1[[#This Row],[PRECIO U.]])/Tabla1[[#This Row],[PRECIO U.]],"")</f>
        <v>0.81159420289855055</v>
      </c>
      <c r="N45" s="18">
        <f>IFERROR(Tabla1[[#This Row],[PVF]]-Tabla1[[#This Row],[PRECIO U.]],"")</f>
        <v>0.89599999999999991</v>
      </c>
    </row>
    <row r="46" spans="2:14" x14ac:dyDescent="0.25">
      <c r="B46" t="s">
        <v>38</v>
      </c>
      <c r="C46" t="s">
        <v>64</v>
      </c>
      <c r="D46" t="s">
        <v>76</v>
      </c>
      <c r="E46" s="7" t="s">
        <v>77</v>
      </c>
      <c r="F46" s="13">
        <v>1.1000000000000001</v>
      </c>
      <c r="G46" s="14">
        <v>2</v>
      </c>
      <c r="H46" s="1">
        <f t="shared" si="1"/>
        <v>0.66</v>
      </c>
      <c r="I46" s="8">
        <v>0.75</v>
      </c>
      <c r="J46" s="2">
        <f>Tabla1[[#This Row],[PVF]]*Tabla1[[#This Row],[UNIDADES]]</f>
        <v>1.5</v>
      </c>
      <c r="K46" s="9">
        <v>0</v>
      </c>
      <c r="L46" s="10">
        <f>Tabla1[[#This Row],[EMP.]]+Tabla1[[#This Row],[PVF]]</f>
        <v>0.75</v>
      </c>
      <c r="M46" s="17">
        <f>IFERROR((Tabla1[[#This Row],[PVF]]-Tabla1[[#This Row],[PRECIO U.]])/Tabla1[[#This Row],[PRECIO U.]],"")</f>
        <v>0.1363636363636363</v>
      </c>
      <c r="N46" s="18">
        <f>IFERROR(Tabla1[[#This Row],[PVF]]-Tabla1[[#This Row],[PRECIO U.]],"")</f>
        <v>8.9999999999999969E-2</v>
      </c>
    </row>
    <row r="47" spans="2:14" x14ac:dyDescent="0.25">
      <c r="B47" t="s">
        <v>38</v>
      </c>
      <c r="C47" t="s">
        <v>64</v>
      </c>
      <c r="D47" t="s">
        <v>76</v>
      </c>
      <c r="E47" s="7" t="s">
        <v>77</v>
      </c>
      <c r="F47" s="13">
        <v>3.92</v>
      </c>
      <c r="G47" s="14">
        <v>6</v>
      </c>
      <c r="H47" s="1">
        <f t="shared" si="1"/>
        <v>0.78399999999999992</v>
      </c>
      <c r="I47" s="8">
        <v>1</v>
      </c>
      <c r="J47" s="2">
        <f>Tabla1[[#This Row],[PVF]]*Tabla1[[#This Row],[UNIDADES]]</f>
        <v>6</v>
      </c>
      <c r="K47" s="9">
        <v>0</v>
      </c>
      <c r="L47" s="10">
        <f>Tabla1[[#This Row],[EMP.]]+Tabla1[[#This Row],[PVF]]</f>
        <v>1</v>
      </c>
      <c r="M47" s="17">
        <f>IFERROR((Tabla1[[#This Row],[PVF]]-Tabla1[[#This Row],[PRECIO U.]])/Tabla1[[#This Row],[PRECIO U.]],"")</f>
        <v>0.27551020408163279</v>
      </c>
      <c r="N47" s="18">
        <f>IFERROR(Tabla1[[#This Row],[PVF]]-Tabla1[[#This Row],[PRECIO U.]],"")</f>
        <v>0.21600000000000008</v>
      </c>
    </row>
    <row r="48" spans="2:14" x14ac:dyDescent="0.25">
      <c r="B48" t="s">
        <v>38</v>
      </c>
      <c r="C48" t="s">
        <v>34</v>
      </c>
      <c r="D48" t="s">
        <v>26</v>
      </c>
      <c r="E48" s="7" t="s">
        <v>78</v>
      </c>
      <c r="F48" s="13">
        <v>2.8</v>
      </c>
      <c r="G48" s="14">
        <v>24</v>
      </c>
      <c r="H48" s="1">
        <f t="shared" si="1"/>
        <v>0.13999999999999999</v>
      </c>
      <c r="I48" s="8">
        <v>0.5</v>
      </c>
      <c r="J48" s="2">
        <f>Tabla1[[#This Row],[PVF]]*Tabla1[[#This Row],[UNIDADES]]</f>
        <v>12</v>
      </c>
      <c r="K48" s="9">
        <v>0</v>
      </c>
      <c r="L48" s="10">
        <f>Tabla1[[#This Row],[EMP.]]+Tabla1[[#This Row],[PVF]]</f>
        <v>0.5</v>
      </c>
      <c r="M48" s="17">
        <f>IFERROR((Tabla1[[#This Row],[PVF]]-Tabla1[[#This Row],[PRECIO U.]])/Tabla1[[#This Row],[PRECIO U.]],"")</f>
        <v>2.5714285714285716</v>
      </c>
      <c r="N48" s="18">
        <f>IFERROR(Tabla1[[#This Row],[PVF]]-Tabla1[[#This Row],[PRECIO U.]],"")</f>
        <v>0.36</v>
      </c>
    </row>
    <row r="49" spans="2:14" x14ac:dyDescent="0.25">
      <c r="B49" t="s">
        <v>85</v>
      </c>
      <c r="C49" t="s">
        <v>35</v>
      </c>
      <c r="D49" t="s">
        <v>28</v>
      </c>
      <c r="E49" s="7" t="s">
        <v>79</v>
      </c>
      <c r="F49" s="13">
        <v>6.35</v>
      </c>
      <c r="G49" s="14">
        <v>1</v>
      </c>
      <c r="H49" s="1">
        <f t="shared" si="1"/>
        <v>7.6199999999999992</v>
      </c>
      <c r="I49" s="8">
        <v>10</v>
      </c>
      <c r="J49" s="2">
        <f>Tabla1[[#This Row],[PVF]]*Tabla1[[#This Row],[UNIDADES]]</f>
        <v>10</v>
      </c>
      <c r="K49" s="9">
        <v>0</v>
      </c>
      <c r="L49" s="10">
        <f>Tabla1[[#This Row],[EMP.]]+Tabla1[[#This Row],[PVF]]</f>
        <v>10</v>
      </c>
      <c r="M49" s="17">
        <f>IFERROR((Tabla1[[#This Row],[PVF]]-Tabla1[[#This Row],[PRECIO U.]])/Tabla1[[#This Row],[PRECIO U.]],"")</f>
        <v>0.31233595800524949</v>
      </c>
      <c r="N49" s="18">
        <f>IFERROR(Tabla1[[#This Row],[PVF]]-Tabla1[[#This Row],[PRECIO U.]],"")</f>
        <v>2.3800000000000008</v>
      </c>
    </row>
    <row r="50" spans="2:14" x14ac:dyDescent="0.25">
      <c r="B50" t="s">
        <v>85</v>
      </c>
      <c r="C50" t="s">
        <v>35</v>
      </c>
      <c r="D50" t="s">
        <v>51</v>
      </c>
      <c r="E50" s="7" t="s">
        <v>80</v>
      </c>
      <c r="F50" s="13">
        <v>1.89</v>
      </c>
      <c r="G50" s="14">
        <v>1</v>
      </c>
      <c r="H50" s="1">
        <f t="shared" si="1"/>
        <v>2.2679999999999998</v>
      </c>
      <c r="I50" s="8">
        <v>3</v>
      </c>
      <c r="J50" s="2">
        <f>Tabla1[[#This Row],[PVF]]*Tabla1[[#This Row],[UNIDADES]]</f>
        <v>3</v>
      </c>
      <c r="K50" s="9">
        <v>0</v>
      </c>
      <c r="L50" s="10">
        <f>Tabla1[[#This Row],[EMP.]]+Tabla1[[#This Row],[PVF]]</f>
        <v>3</v>
      </c>
      <c r="M50" s="17">
        <f>IFERROR((Tabla1[[#This Row],[PVF]]-Tabla1[[#This Row],[PRECIO U.]])/Tabla1[[#This Row],[PRECIO U.]],"")</f>
        <v>0.32275132275132284</v>
      </c>
      <c r="N50" s="18">
        <f>IFERROR(Tabla1[[#This Row],[PVF]]-Tabla1[[#This Row],[PRECIO U.]],"")</f>
        <v>0.73200000000000021</v>
      </c>
    </row>
    <row r="51" spans="2:14" x14ac:dyDescent="0.25">
      <c r="B51" t="s">
        <v>85</v>
      </c>
      <c r="C51" t="s">
        <v>35</v>
      </c>
      <c r="D51" t="s">
        <v>51</v>
      </c>
      <c r="E51" s="7" t="s">
        <v>81</v>
      </c>
      <c r="F51" s="13">
        <v>1.51</v>
      </c>
      <c r="G51" s="14">
        <v>1</v>
      </c>
      <c r="H51" s="1">
        <f t="shared" si="1"/>
        <v>1.8119999999999998</v>
      </c>
      <c r="I51" s="8">
        <v>3</v>
      </c>
      <c r="J51" s="2">
        <f>Tabla1[[#This Row],[PVF]]*Tabla1[[#This Row],[UNIDADES]]</f>
        <v>3</v>
      </c>
      <c r="K51" s="9">
        <v>0</v>
      </c>
      <c r="L51" s="10">
        <f>Tabla1[[#This Row],[EMP.]]+Tabla1[[#This Row],[PVF]]</f>
        <v>3</v>
      </c>
      <c r="M51" s="17">
        <f>IFERROR((Tabla1[[#This Row],[PVF]]-Tabla1[[#This Row],[PRECIO U.]])/Tabla1[[#This Row],[PRECIO U.]],"")</f>
        <v>0.65562913907284781</v>
      </c>
      <c r="N51" s="18">
        <f>IFERROR(Tabla1[[#This Row],[PVF]]-Tabla1[[#This Row],[PRECIO U.]],"")</f>
        <v>1.1880000000000002</v>
      </c>
    </row>
    <row r="52" spans="2:14" x14ac:dyDescent="0.25">
      <c r="B52" t="s">
        <v>85</v>
      </c>
      <c r="C52" t="s">
        <v>35</v>
      </c>
      <c r="D52" t="s">
        <v>51</v>
      </c>
      <c r="E52" s="7" t="s">
        <v>82</v>
      </c>
      <c r="F52" s="13">
        <v>1.4</v>
      </c>
      <c r="G52" s="14">
        <v>1</v>
      </c>
      <c r="H52" s="1">
        <f t="shared" si="1"/>
        <v>1.68</v>
      </c>
      <c r="I52" s="8">
        <v>3</v>
      </c>
      <c r="J52" s="2">
        <f>Tabla1[[#This Row],[PVF]]*Tabla1[[#This Row],[UNIDADES]]</f>
        <v>3</v>
      </c>
      <c r="K52" s="9">
        <v>0</v>
      </c>
      <c r="L52" s="10">
        <f>Tabla1[[#This Row],[EMP.]]+Tabla1[[#This Row],[PVF]]</f>
        <v>3</v>
      </c>
      <c r="M52" s="17">
        <f>IFERROR((Tabla1[[#This Row],[PVF]]-Tabla1[[#This Row],[PRECIO U.]])/Tabla1[[#This Row],[PRECIO U.]],"")</f>
        <v>0.78571428571428581</v>
      </c>
      <c r="N52" s="18">
        <f>IFERROR(Tabla1[[#This Row],[PVF]]-Tabla1[[#This Row],[PRECIO U.]],"")</f>
        <v>1.32</v>
      </c>
    </row>
    <row r="53" spans="2:14" x14ac:dyDescent="0.25">
      <c r="B53" t="s">
        <v>86</v>
      </c>
      <c r="C53" t="s">
        <v>35</v>
      </c>
      <c r="D53" t="s">
        <v>51</v>
      </c>
      <c r="E53" s="7" t="s">
        <v>83</v>
      </c>
      <c r="F53" s="13">
        <v>2.2599999999999998</v>
      </c>
      <c r="G53" s="14">
        <v>1</v>
      </c>
      <c r="H53" s="1">
        <f t="shared" si="1"/>
        <v>2.7119999999999997</v>
      </c>
      <c r="I53" s="8">
        <v>4</v>
      </c>
      <c r="J53" s="2">
        <f>Tabla1[[#This Row],[PVF]]*Tabla1[[#This Row],[UNIDADES]]</f>
        <v>4</v>
      </c>
      <c r="K53" s="9">
        <v>0</v>
      </c>
      <c r="L53" s="10">
        <f>Tabla1[[#This Row],[EMP.]]+Tabla1[[#This Row],[PVF]]</f>
        <v>4</v>
      </c>
      <c r="M53" s="17">
        <f>IFERROR((Tabla1[[#This Row],[PVF]]-Tabla1[[#This Row],[PRECIO U.]])/Tabla1[[#This Row],[PRECIO U.]],"")</f>
        <v>0.47492625368731578</v>
      </c>
      <c r="N53" s="18">
        <f>IFERROR(Tabla1[[#This Row],[PVF]]-Tabla1[[#This Row],[PRECIO U.]],"")</f>
        <v>1.2880000000000003</v>
      </c>
    </row>
    <row r="54" spans="2:14" x14ac:dyDescent="0.25">
      <c r="B54" t="s">
        <v>85</v>
      </c>
      <c r="C54" t="s">
        <v>35</v>
      </c>
      <c r="D54" t="s">
        <v>51</v>
      </c>
      <c r="E54" s="7" t="s">
        <v>84</v>
      </c>
      <c r="F54" s="13">
        <v>1.67</v>
      </c>
      <c r="G54" s="14">
        <v>1</v>
      </c>
      <c r="H54" s="1">
        <f t="shared" si="1"/>
        <v>2.004</v>
      </c>
      <c r="I54" s="8">
        <v>3</v>
      </c>
      <c r="J54" s="2">
        <f>Tabla1[[#This Row],[PVF]]*Tabla1[[#This Row],[UNIDADES]]</f>
        <v>3</v>
      </c>
      <c r="K54" s="9">
        <v>0</v>
      </c>
      <c r="L54" s="10">
        <f>Tabla1[[#This Row],[EMP.]]+Tabla1[[#This Row],[PVF]]</f>
        <v>3</v>
      </c>
      <c r="M54" s="17">
        <f>IFERROR((Tabla1[[#This Row],[PVF]]-Tabla1[[#This Row],[PRECIO U.]])/Tabla1[[#This Row],[PRECIO U.]],"")</f>
        <v>0.49700598802395207</v>
      </c>
      <c r="N54" s="18">
        <f>IFERROR(Tabla1[[#This Row],[PVF]]-Tabla1[[#This Row],[PRECIO U.]],"")</f>
        <v>0.996</v>
      </c>
    </row>
    <row r="55" spans="2:14" x14ac:dyDescent="0.25">
      <c r="B55" t="s">
        <v>85</v>
      </c>
      <c r="C55" t="s">
        <v>34</v>
      </c>
      <c r="D55" t="s">
        <v>39</v>
      </c>
      <c r="E55" s="7" t="s">
        <v>87</v>
      </c>
      <c r="F55" s="13">
        <v>0.86</v>
      </c>
      <c r="G55" s="14">
        <v>1</v>
      </c>
      <c r="H55" s="1">
        <f t="shared" si="1"/>
        <v>1.032</v>
      </c>
      <c r="I55" s="8">
        <v>2</v>
      </c>
      <c r="J55" s="2">
        <f>Tabla1[[#This Row],[PVF]]*Tabla1[[#This Row],[UNIDADES]]</f>
        <v>2</v>
      </c>
      <c r="K55" s="9">
        <v>0.5</v>
      </c>
      <c r="L55" s="10">
        <f>Tabla1[[#This Row],[EMP.]]+Tabla1[[#This Row],[PVF]]</f>
        <v>2.5</v>
      </c>
      <c r="M55" s="17">
        <f>IFERROR((Tabla1[[#This Row],[PVF]]-Tabla1[[#This Row],[PRECIO U.]])/Tabla1[[#This Row],[PRECIO U.]],"")</f>
        <v>0.93798449612403101</v>
      </c>
      <c r="N55" s="18">
        <f>IFERROR(Tabla1[[#This Row],[PVF]]-Tabla1[[#This Row],[PRECIO U.]],"")</f>
        <v>0.96799999999999997</v>
      </c>
    </row>
    <row r="56" spans="2:14" x14ac:dyDescent="0.25">
      <c r="B56" t="s">
        <v>85</v>
      </c>
      <c r="C56" t="s">
        <v>34</v>
      </c>
      <c r="D56" t="s">
        <v>39</v>
      </c>
      <c r="E56" s="7" t="s">
        <v>88</v>
      </c>
      <c r="F56" s="13">
        <v>1.55</v>
      </c>
      <c r="G56" s="14">
        <v>1</v>
      </c>
      <c r="H56" s="1">
        <f t="shared" si="1"/>
        <v>1.8599999999999999</v>
      </c>
      <c r="I56" s="8">
        <v>3</v>
      </c>
      <c r="J56" s="2">
        <f>Tabla1[[#This Row],[PVF]]*Tabla1[[#This Row],[UNIDADES]]</f>
        <v>3</v>
      </c>
      <c r="K56" s="9">
        <v>0.5</v>
      </c>
      <c r="L56" s="10">
        <f>Tabla1[[#This Row],[EMP.]]+Tabla1[[#This Row],[PVF]]</f>
        <v>3.5</v>
      </c>
      <c r="M56" s="17">
        <f>IFERROR((Tabla1[[#This Row],[PVF]]-Tabla1[[#This Row],[PRECIO U.]])/Tabla1[[#This Row],[PRECIO U.]],"")</f>
        <v>0.61290322580645173</v>
      </c>
      <c r="N56" s="18">
        <f>IFERROR(Tabla1[[#This Row],[PVF]]-Tabla1[[#This Row],[PRECIO U.]],"")</f>
        <v>1.1400000000000001</v>
      </c>
    </row>
    <row r="57" spans="2:14" x14ac:dyDescent="0.25">
      <c r="B57" t="s">
        <v>85</v>
      </c>
      <c r="C57" t="s">
        <v>34</v>
      </c>
      <c r="D57" t="s">
        <v>39</v>
      </c>
      <c r="E57" s="7" t="s">
        <v>89</v>
      </c>
      <c r="F57" s="13">
        <v>1.37</v>
      </c>
      <c r="G57" s="14">
        <v>1</v>
      </c>
      <c r="H57" s="1">
        <f t="shared" si="1"/>
        <v>1.6440000000000001</v>
      </c>
      <c r="I57" s="8">
        <v>3</v>
      </c>
      <c r="J57" s="2">
        <f>Tabla1[[#This Row],[PVF]]*Tabla1[[#This Row],[UNIDADES]]</f>
        <v>3</v>
      </c>
      <c r="K57" s="9">
        <v>0.5</v>
      </c>
      <c r="L57" s="10">
        <f>Tabla1[[#This Row],[EMP.]]+Tabla1[[#This Row],[PVF]]</f>
        <v>3.5</v>
      </c>
      <c r="M57" s="17">
        <f>IFERROR((Tabla1[[#This Row],[PVF]]-Tabla1[[#This Row],[PRECIO U.]])/Tabla1[[#This Row],[PRECIO U.]],"")</f>
        <v>0.82481751824817506</v>
      </c>
      <c r="N57" s="18">
        <f>IFERROR(Tabla1[[#This Row],[PVF]]-Tabla1[[#This Row],[PRECIO U.]],"")</f>
        <v>1.3559999999999999</v>
      </c>
    </row>
    <row r="58" spans="2:14" x14ac:dyDescent="0.25">
      <c r="B58" t="s">
        <v>85</v>
      </c>
      <c r="C58" t="s">
        <v>34</v>
      </c>
      <c r="D58" t="s">
        <v>39</v>
      </c>
      <c r="E58" s="7" t="s">
        <v>90</v>
      </c>
      <c r="F58" s="13">
        <v>1.69</v>
      </c>
      <c r="G58" s="14">
        <v>1</v>
      </c>
      <c r="H58" s="1">
        <f t="shared" si="1"/>
        <v>2.028</v>
      </c>
      <c r="I58" s="8">
        <v>3</v>
      </c>
      <c r="J58" s="2">
        <f>Tabla1[[#This Row],[PVF]]*Tabla1[[#This Row],[UNIDADES]]</f>
        <v>3</v>
      </c>
      <c r="K58" s="9">
        <v>0.5</v>
      </c>
      <c r="L58" s="10">
        <f>Tabla1[[#This Row],[EMP.]]+Tabla1[[#This Row],[PVF]]</f>
        <v>3.5</v>
      </c>
      <c r="M58" s="17">
        <f>IFERROR((Tabla1[[#This Row],[PVF]]-Tabla1[[#This Row],[PRECIO U.]])/Tabla1[[#This Row],[PRECIO U.]],"")</f>
        <v>0.47928994082840237</v>
      </c>
      <c r="N58" s="18">
        <f>IFERROR(Tabla1[[#This Row],[PVF]]-Tabla1[[#This Row],[PRECIO U.]],"")</f>
        <v>0.97199999999999998</v>
      </c>
    </row>
    <row r="59" spans="2:14" x14ac:dyDescent="0.25">
      <c r="B59" t="s">
        <v>85</v>
      </c>
      <c r="C59" t="s">
        <v>35</v>
      </c>
      <c r="D59" t="s">
        <v>92</v>
      </c>
      <c r="E59" s="7" t="s">
        <v>91</v>
      </c>
      <c r="F59" s="13">
        <v>1.57</v>
      </c>
      <c r="G59" s="14">
        <v>1</v>
      </c>
      <c r="H59" s="1">
        <f t="shared" si="1"/>
        <v>1.8839999999999999</v>
      </c>
      <c r="I59" s="8">
        <v>3</v>
      </c>
      <c r="J59" s="2">
        <f>Tabla1[[#This Row],[PVF]]*Tabla1[[#This Row],[UNIDADES]]</f>
        <v>3</v>
      </c>
      <c r="K59" s="9">
        <v>0</v>
      </c>
      <c r="L59" s="10">
        <f>Tabla1[[#This Row],[EMP.]]+Tabla1[[#This Row],[PVF]]</f>
        <v>3</v>
      </c>
      <c r="M59" s="17">
        <f>IFERROR((Tabla1[[#This Row],[PVF]]-Tabla1[[#This Row],[PRECIO U.]])/Tabla1[[#This Row],[PRECIO U.]],"")</f>
        <v>0.59235668789808926</v>
      </c>
      <c r="N59" s="18">
        <f>IFERROR(Tabla1[[#This Row],[PVF]]-Tabla1[[#This Row],[PRECIO U.]],"")</f>
        <v>1.1160000000000001</v>
      </c>
    </row>
    <row r="60" spans="2:14" x14ac:dyDescent="0.25">
      <c r="B60" t="s">
        <v>85</v>
      </c>
      <c r="C60" t="s">
        <v>34</v>
      </c>
      <c r="D60" t="s">
        <v>39</v>
      </c>
      <c r="E60" s="7" t="s">
        <v>93</v>
      </c>
      <c r="F60" s="13">
        <v>1.97</v>
      </c>
      <c r="G60" s="14">
        <v>4</v>
      </c>
      <c r="H60" s="1">
        <f t="shared" si="1"/>
        <v>0.59099999999999997</v>
      </c>
      <c r="I60" s="8">
        <v>0.75</v>
      </c>
      <c r="J60" s="2">
        <f>Tabla1[[#This Row],[PVF]]*Tabla1[[#This Row],[UNIDADES]]</f>
        <v>3</v>
      </c>
      <c r="K60" s="9">
        <v>0.5</v>
      </c>
      <c r="L60" s="10">
        <f>Tabla1[[#This Row],[EMP.]]+Tabla1[[#This Row],[PVF]]</f>
        <v>1.25</v>
      </c>
      <c r="M60" s="17">
        <f>IFERROR((Tabla1[[#This Row],[PVF]]-Tabla1[[#This Row],[PRECIO U.]])/Tabla1[[#This Row],[PRECIO U.]],"")</f>
        <v>0.26903553299492394</v>
      </c>
      <c r="N60" s="18">
        <f>IFERROR(Tabla1[[#This Row],[PVF]]-Tabla1[[#This Row],[PRECIO U.]],"")</f>
        <v>0.15900000000000003</v>
      </c>
    </row>
    <row r="61" spans="2:14" x14ac:dyDescent="0.25">
      <c r="B61" t="s">
        <v>85</v>
      </c>
      <c r="C61" s="1" t="s">
        <v>34</v>
      </c>
      <c r="D61" t="s">
        <v>26</v>
      </c>
      <c r="E61" s="15" t="s">
        <v>94</v>
      </c>
      <c r="F61" s="13">
        <v>2.8</v>
      </c>
      <c r="G61" s="14">
        <v>1</v>
      </c>
      <c r="H61" s="1">
        <f t="shared" si="1"/>
        <v>3.36</v>
      </c>
      <c r="I61" s="16">
        <v>5</v>
      </c>
      <c r="J61" s="2">
        <f>Tabla1[[#This Row],[PVF]]*Tabla1[[#This Row],[UNIDADES]]</f>
        <v>5</v>
      </c>
      <c r="K61" s="9"/>
      <c r="L61" s="10">
        <f>Tabla1[[#This Row],[EMP.]]+Tabla1[[#This Row],[PVF]]</f>
        <v>5</v>
      </c>
      <c r="M61" s="17">
        <f>IFERROR((Tabla1[[#This Row],[PVF]]-Tabla1[[#This Row],[PRECIO U.]])/Tabla1[[#This Row],[PRECIO U.]],"")</f>
        <v>0.48809523809523814</v>
      </c>
      <c r="N61" s="18">
        <f>IFERROR(Tabla1[[#This Row],[PVF]]-Tabla1[[#This Row],[PRECIO U.]],"")</f>
        <v>1.6400000000000001</v>
      </c>
    </row>
    <row r="62" spans="2:14" x14ac:dyDescent="0.25">
      <c r="B62" t="s">
        <v>85</v>
      </c>
      <c r="C62" s="1" t="s">
        <v>34</v>
      </c>
      <c r="D62" t="s">
        <v>95</v>
      </c>
      <c r="E62" s="15" t="s">
        <v>96</v>
      </c>
      <c r="F62" s="13">
        <v>3.72</v>
      </c>
      <c r="G62" s="14">
        <v>5</v>
      </c>
      <c r="H62" s="1">
        <f t="shared" si="1"/>
        <v>0.89279999999999993</v>
      </c>
      <c r="I62" s="16">
        <v>2.5</v>
      </c>
      <c r="J62" s="2">
        <f>Tabla1[[#This Row],[PVF]]*Tabla1[[#This Row],[UNIDADES]]</f>
        <v>12.5</v>
      </c>
      <c r="K62" s="9"/>
      <c r="L62" s="10">
        <f>Tabla1[[#This Row],[EMP.]]+Tabla1[[#This Row],[PVF]]</f>
        <v>2.5</v>
      </c>
      <c r="M62" s="17">
        <f>IFERROR((Tabla1[[#This Row],[PVF]]-Tabla1[[#This Row],[PRECIO U.]])/Tabla1[[#This Row],[PRECIO U.]],"")</f>
        <v>1.8001792114695343</v>
      </c>
      <c r="N62" s="18">
        <f>IFERROR(Tabla1[[#This Row],[PVF]]-Tabla1[[#This Row],[PRECIO U.]],"")</f>
        <v>1.6072000000000002</v>
      </c>
    </row>
    <row r="63" spans="2:14" x14ac:dyDescent="0.25">
      <c r="B63" t="s">
        <v>85</v>
      </c>
      <c r="C63" s="1" t="s">
        <v>34</v>
      </c>
      <c r="D63" t="s">
        <v>26</v>
      </c>
      <c r="E63" s="15" t="s">
        <v>97</v>
      </c>
      <c r="F63" s="13">
        <v>2.04</v>
      </c>
      <c r="G63" s="14">
        <v>5</v>
      </c>
      <c r="H63" s="1">
        <f t="shared" si="1"/>
        <v>0.48960000000000004</v>
      </c>
      <c r="I63" s="16">
        <v>1</v>
      </c>
      <c r="J63" s="2">
        <f>Tabla1[[#This Row],[PVF]]*Tabla1[[#This Row],[UNIDADES]]</f>
        <v>5</v>
      </c>
      <c r="K63" s="9"/>
      <c r="L63" s="10">
        <f>Tabla1[[#This Row],[EMP.]]+Tabla1[[#This Row],[PVF]]</f>
        <v>1</v>
      </c>
      <c r="M63" s="17">
        <f>IFERROR((Tabla1[[#This Row],[PVF]]-Tabla1[[#This Row],[PRECIO U.]])/Tabla1[[#This Row],[PRECIO U.]],"")</f>
        <v>1.0424836601307188</v>
      </c>
      <c r="N63" s="18">
        <f>IFERROR(Tabla1[[#This Row],[PVF]]-Tabla1[[#This Row],[PRECIO U.]],"")</f>
        <v>0.51039999999999996</v>
      </c>
    </row>
    <row r="64" spans="2:14" x14ac:dyDescent="0.25">
      <c r="B64" t="s">
        <v>85</v>
      </c>
      <c r="C64" s="1" t="s">
        <v>35</v>
      </c>
      <c r="D64" t="s">
        <v>28</v>
      </c>
      <c r="E64" s="15" t="s">
        <v>98</v>
      </c>
      <c r="F64" s="13">
        <v>4.68</v>
      </c>
      <c r="G64" s="14">
        <v>1</v>
      </c>
      <c r="H64" s="1">
        <f t="shared" si="1"/>
        <v>5.6159999999999997</v>
      </c>
      <c r="I64" s="16">
        <v>7</v>
      </c>
      <c r="J64" s="2">
        <f>Tabla1[[#This Row],[PVF]]*Tabla1[[#This Row],[UNIDADES]]</f>
        <v>7</v>
      </c>
      <c r="K64" s="9"/>
      <c r="L64" s="10">
        <f>Tabla1[[#This Row],[EMP.]]+Tabla1[[#This Row],[PVF]]</f>
        <v>7</v>
      </c>
      <c r="M64" s="17">
        <f>IFERROR((Tabla1[[#This Row],[PVF]]-Tabla1[[#This Row],[PRECIO U.]])/Tabla1[[#This Row],[PRECIO U.]],"")</f>
        <v>0.24643874643874653</v>
      </c>
      <c r="N64" s="18">
        <f>IFERROR(Tabla1[[#This Row],[PVF]]-Tabla1[[#This Row],[PRECIO U.]],"")</f>
        <v>1.3840000000000003</v>
      </c>
    </row>
    <row r="65" spans="2:14" x14ac:dyDescent="0.25">
      <c r="B65" t="s">
        <v>85</v>
      </c>
      <c r="C65" s="1" t="s">
        <v>35</v>
      </c>
      <c r="D65" t="s">
        <v>28</v>
      </c>
      <c r="E65" s="15" t="s">
        <v>99</v>
      </c>
      <c r="F65" s="13">
        <v>15.61</v>
      </c>
      <c r="G65" s="14">
        <v>1</v>
      </c>
      <c r="H65" s="1">
        <f t="shared" si="1"/>
        <v>18.731999999999999</v>
      </c>
      <c r="I65" s="16">
        <v>20</v>
      </c>
      <c r="J65" s="2">
        <f>Tabla1[[#This Row],[PVF]]*Tabla1[[#This Row],[UNIDADES]]</f>
        <v>20</v>
      </c>
      <c r="K65" s="9"/>
      <c r="L65" s="10">
        <f>Tabla1[[#This Row],[EMP.]]+Tabla1[[#This Row],[PVF]]</f>
        <v>20</v>
      </c>
      <c r="M65" s="17">
        <f>IFERROR((Tabla1[[#This Row],[PVF]]-Tabla1[[#This Row],[PRECIO U.]])/Tabla1[[#This Row],[PRECIO U.]],"")</f>
        <v>6.7691650651291943E-2</v>
      </c>
      <c r="N65" s="18">
        <f>IFERROR(Tabla1[[#This Row],[PVF]]-Tabla1[[#This Row],[PRECIO U.]],"")</f>
        <v>1.2680000000000007</v>
      </c>
    </row>
    <row r="66" spans="2:14" x14ac:dyDescent="0.25">
      <c r="B66" t="s">
        <v>85</v>
      </c>
      <c r="C66" s="1" t="s">
        <v>35</v>
      </c>
      <c r="D66" t="s">
        <v>28</v>
      </c>
      <c r="E66" s="15" t="s">
        <v>100</v>
      </c>
      <c r="F66" s="13">
        <v>4.26</v>
      </c>
      <c r="G66" s="14">
        <v>1</v>
      </c>
      <c r="H66" s="1">
        <f t="shared" si="1"/>
        <v>5.1119999999999992</v>
      </c>
      <c r="I66" s="16">
        <v>7</v>
      </c>
      <c r="J66" s="2">
        <f>Tabla1[[#This Row],[PVF]]*Tabla1[[#This Row],[UNIDADES]]</f>
        <v>7</v>
      </c>
      <c r="K66" s="9"/>
      <c r="L66" s="10">
        <f>Tabla1[[#This Row],[EMP.]]+Tabla1[[#This Row],[PVF]]</f>
        <v>7</v>
      </c>
      <c r="M66" s="17">
        <f>IFERROR((Tabla1[[#This Row],[PVF]]-Tabla1[[#This Row],[PRECIO U.]])/Tabla1[[#This Row],[PRECIO U.]],"")</f>
        <v>0.36932707355242589</v>
      </c>
      <c r="N66" s="18">
        <f>IFERROR(Tabla1[[#This Row],[PVF]]-Tabla1[[#This Row],[PRECIO U.]],"")</f>
        <v>1.8880000000000008</v>
      </c>
    </row>
    <row r="67" spans="2:14" x14ac:dyDescent="0.25">
      <c r="B67" t="s">
        <v>85</v>
      </c>
      <c r="C67" s="1" t="s">
        <v>35</v>
      </c>
      <c r="D67" t="s">
        <v>28</v>
      </c>
      <c r="E67" s="15" t="s">
        <v>101</v>
      </c>
      <c r="F67" s="13">
        <v>4.84</v>
      </c>
      <c r="G67" s="14">
        <v>1</v>
      </c>
      <c r="H67" s="1">
        <f t="shared" si="1"/>
        <v>5.8079999999999998</v>
      </c>
      <c r="I67" s="16">
        <v>7</v>
      </c>
      <c r="J67" s="2">
        <f>Tabla1[[#This Row],[PVF]]*Tabla1[[#This Row],[UNIDADES]]</f>
        <v>7</v>
      </c>
      <c r="K67" s="9"/>
      <c r="L67" s="10">
        <f>Tabla1[[#This Row],[EMP.]]+Tabla1[[#This Row],[PVF]]</f>
        <v>7</v>
      </c>
      <c r="M67" s="17">
        <f>IFERROR((Tabla1[[#This Row],[PVF]]-Tabla1[[#This Row],[PRECIO U.]])/Tabla1[[#This Row],[PRECIO U.]],"")</f>
        <v>0.20523415977961437</v>
      </c>
      <c r="N67" s="18">
        <f>IFERROR(Tabla1[[#This Row],[PVF]]-Tabla1[[#This Row],[PRECIO U.]],"")</f>
        <v>1.1920000000000002</v>
      </c>
    </row>
    <row r="68" spans="2:14" x14ac:dyDescent="0.25">
      <c r="B68" t="s">
        <v>85</v>
      </c>
      <c r="C68" s="1" t="s">
        <v>35</v>
      </c>
      <c r="D68" t="s">
        <v>28</v>
      </c>
      <c r="E68" s="15" t="s">
        <v>102</v>
      </c>
      <c r="F68" s="13">
        <v>4.9400000000000004</v>
      </c>
      <c r="G68" s="14">
        <v>1</v>
      </c>
      <c r="H68" s="1">
        <f t="shared" ref="H68:H99" si="2">IFERROR(F68/G68*1.2,"")</f>
        <v>5.9279999999999999</v>
      </c>
      <c r="I68" s="16">
        <v>8</v>
      </c>
      <c r="J68" s="2">
        <f>Tabla1[[#This Row],[PVF]]*Tabla1[[#This Row],[UNIDADES]]</f>
        <v>8</v>
      </c>
      <c r="K68" s="9"/>
      <c r="L68" s="10">
        <f>Tabla1[[#This Row],[EMP.]]+Tabla1[[#This Row],[PVF]]</f>
        <v>8</v>
      </c>
      <c r="M68" s="17">
        <f>IFERROR((Tabla1[[#This Row],[PVF]]-Tabla1[[#This Row],[PRECIO U.]])/Tabla1[[#This Row],[PRECIO U.]],"")</f>
        <v>0.34952766531713902</v>
      </c>
      <c r="N68" s="18">
        <f>IFERROR(Tabla1[[#This Row],[PVF]]-Tabla1[[#This Row],[PRECIO U.]],"")</f>
        <v>2.0720000000000001</v>
      </c>
    </row>
    <row r="69" spans="2:14" x14ac:dyDescent="0.25">
      <c r="B69" t="s">
        <v>85</v>
      </c>
      <c r="C69" s="1" t="s">
        <v>35</v>
      </c>
      <c r="D69" t="s">
        <v>58</v>
      </c>
      <c r="E69" s="15" t="s">
        <v>103</v>
      </c>
      <c r="F69" s="13">
        <v>1.5</v>
      </c>
      <c r="G69" s="14">
        <v>1</v>
      </c>
      <c r="H69" s="1">
        <f t="shared" si="2"/>
        <v>1.7999999999999998</v>
      </c>
      <c r="I69" s="16">
        <v>3</v>
      </c>
      <c r="J69" s="2">
        <f>Tabla1[[#This Row],[PVF]]*Tabla1[[#This Row],[UNIDADES]]</f>
        <v>3</v>
      </c>
      <c r="K69" s="9"/>
      <c r="L69" s="10">
        <f>Tabla1[[#This Row],[EMP.]]+Tabla1[[#This Row],[PVF]]</f>
        <v>3</v>
      </c>
      <c r="M69" s="17">
        <f>IFERROR((Tabla1[[#This Row],[PVF]]-Tabla1[[#This Row],[PRECIO U.]])/Tabla1[[#This Row],[PRECIO U.]],"")</f>
        <v>0.66666666666666685</v>
      </c>
      <c r="N69" s="18">
        <f>IFERROR(Tabla1[[#This Row],[PVF]]-Tabla1[[#This Row],[PRECIO U.]],"")</f>
        <v>1.2000000000000002</v>
      </c>
    </row>
    <row r="70" spans="2:14" x14ac:dyDescent="0.25">
      <c r="B70" t="s">
        <v>85</v>
      </c>
      <c r="C70" s="1" t="s">
        <v>35</v>
      </c>
      <c r="D70" t="s">
        <v>28</v>
      </c>
      <c r="E70" s="15" t="s">
        <v>104</v>
      </c>
      <c r="F70" s="13">
        <v>2.8</v>
      </c>
      <c r="G70" s="14">
        <v>1</v>
      </c>
      <c r="H70" s="1">
        <f t="shared" si="2"/>
        <v>3.36</v>
      </c>
      <c r="I70" s="16">
        <v>5</v>
      </c>
      <c r="J70" s="2">
        <f>Tabla1[[#This Row],[PVF]]*Tabla1[[#This Row],[UNIDADES]]</f>
        <v>5</v>
      </c>
      <c r="K70" s="9"/>
      <c r="L70" s="10">
        <f>Tabla1[[#This Row],[EMP.]]+Tabla1[[#This Row],[PVF]]</f>
        <v>5</v>
      </c>
      <c r="M70" s="17">
        <f>IFERROR((Tabla1[[#This Row],[PVF]]-Tabla1[[#This Row],[PRECIO U.]])/Tabla1[[#This Row],[PRECIO U.]],"")</f>
        <v>0.48809523809523814</v>
      </c>
      <c r="N70" s="18">
        <f>IFERROR(Tabla1[[#This Row],[PVF]]-Tabla1[[#This Row],[PRECIO U.]],"")</f>
        <v>1.6400000000000001</v>
      </c>
    </row>
    <row r="71" spans="2:14" x14ac:dyDescent="0.25">
      <c r="B71" t="s">
        <v>85</v>
      </c>
      <c r="C71" s="1" t="s">
        <v>35</v>
      </c>
      <c r="D71" t="s">
        <v>28</v>
      </c>
      <c r="E71" s="15" t="s">
        <v>105</v>
      </c>
      <c r="F71" s="13">
        <v>5.99</v>
      </c>
      <c r="G71" s="14">
        <v>1</v>
      </c>
      <c r="H71" s="1">
        <f t="shared" si="2"/>
        <v>7.1879999999999997</v>
      </c>
      <c r="I71" s="16">
        <v>8</v>
      </c>
      <c r="J71" s="2">
        <f>Tabla1[[#This Row],[PVF]]*Tabla1[[#This Row],[UNIDADES]]</f>
        <v>8</v>
      </c>
      <c r="K71" s="9"/>
      <c r="L71" s="10">
        <f>Tabla1[[#This Row],[EMP.]]+Tabla1[[#This Row],[PVF]]</f>
        <v>8</v>
      </c>
      <c r="M71" s="17">
        <f>IFERROR((Tabla1[[#This Row],[PVF]]-Tabla1[[#This Row],[PRECIO U.]])/Tabla1[[#This Row],[PRECIO U.]],"")</f>
        <v>0.11296605453533672</v>
      </c>
      <c r="N71" s="18">
        <f>IFERROR(Tabla1[[#This Row],[PVF]]-Tabla1[[#This Row],[PRECIO U.]],"")</f>
        <v>0.81200000000000028</v>
      </c>
    </row>
    <row r="72" spans="2:14" x14ac:dyDescent="0.25">
      <c r="B72" t="s">
        <v>85</v>
      </c>
      <c r="C72" s="1" t="s">
        <v>34</v>
      </c>
      <c r="D72" t="s">
        <v>95</v>
      </c>
      <c r="E72" s="15" t="s">
        <v>106</v>
      </c>
      <c r="F72" s="13">
        <v>4.42</v>
      </c>
      <c r="G72" s="14">
        <v>10</v>
      </c>
      <c r="H72" s="1">
        <f t="shared" si="2"/>
        <v>0.53039999999999998</v>
      </c>
      <c r="I72" s="16">
        <v>1</v>
      </c>
      <c r="J72" s="2">
        <f>Tabla1[[#This Row],[PVF]]*Tabla1[[#This Row],[UNIDADES]]</f>
        <v>10</v>
      </c>
      <c r="K72" s="9"/>
      <c r="L72" s="10">
        <f>Tabla1[[#This Row],[EMP.]]+Tabla1[[#This Row],[PVF]]</f>
        <v>1</v>
      </c>
      <c r="M72" s="17">
        <f>IFERROR((Tabla1[[#This Row],[PVF]]-Tabla1[[#This Row],[PRECIO U.]])/Tabla1[[#This Row],[PRECIO U.]],"")</f>
        <v>0.88536953242835603</v>
      </c>
      <c r="N72" s="18">
        <f>IFERROR(Tabla1[[#This Row],[PVF]]-Tabla1[[#This Row],[PRECIO U.]],"")</f>
        <v>0.46960000000000002</v>
      </c>
    </row>
    <row r="73" spans="2:14" x14ac:dyDescent="0.25">
      <c r="B73" t="s">
        <v>85</v>
      </c>
      <c r="C73" s="1" t="s">
        <v>35</v>
      </c>
      <c r="D73" t="s">
        <v>28</v>
      </c>
      <c r="E73" s="15" t="s">
        <v>107</v>
      </c>
      <c r="F73" s="13">
        <v>6.98</v>
      </c>
      <c r="G73" s="14">
        <v>1</v>
      </c>
      <c r="H73" s="1">
        <f t="shared" si="2"/>
        <v>8.3759999999999994</v>
      </c>
      <c r="I73" s="16">
        <v>12</v>
      </c>
      <c r="J73" s="2">
        <f>Tabla1[[#This Row],[PVF]]*Tabla1[[#This Row],[UNIDADES]]</f>
        <v>12</v>
      </c>
      <c r="K73" s="9"/>
      <c r="L73" s="10">
        <f>Tabla1[[#This Row],[EMP.]]+Tabla1[[#This Row],[PVF]]</f>
        <v>12</v>
      </c>
      <c r="M73" s="17">
        <f>IFERROR((Tabla1[[#This Row],[PVF]]-Tabla1[[#This Row],[PRECIO U.]])/Tabla1[[#This Row],[PRECIO U.]],"")</f>
        <v>0.43266475644699148</v>
      </c>
      <c r="N73" s="18">
        <f>IFERROR(Tabla1[[#This Row],[PVF]]-Tabla1[[#This Row],[PRECIO U.]],"")</f>
        <v>3.6240000000000006</v>
      </c>
    </row>
    <row r="74" spans="2:14" x14ac:dyDescent="0.25">
      <c r="B74" t="s">
        <v>85</v>
      </c>
      <c r="C74" s="1" t="s">
        <v>35</v>
      </c>
      <c r="D74" t="s">
        <v>28</v>
      </c>
      <c r="E74" s="15" t="s">
        <v>108</v>
      </c>
      <c r="F74" s="13">
        <v>2.35</v>
      </c>
      <c r="G74" s="14">
        <v>1</v>
      </c>
      <c r="H74" s="1">
        <f t="shared" si="2"/>
        <v>2.82</v>
      </c>
      <c r="I74" s="16">
        <v>6</v>
      </c>
      <c r="J74" s="2">
        <f>Tabla1[[#This Row],[PVF]]*Tabla1[[#This Row],[UNIDADES]]</f>
        <v>6</v>
      </c>
      <c r="K74" s="9"/>
      <c r="L74" s="10">
        <f>Tabla1[[#This Row],[EMP.]]+Tabla1[[#This Row],[PVF]]</f>
        <v>6</v>
      </c>
      <c r="M74" s="17">
        <f>IFERROR((Tabla1[[#This Row],[PVF]]-Tabla1[[#This Row],[PRECIO U.]])/Tabla1[[#This Row],[PRECIO U.]],"")</f>
        <v>1.1276595744680853</v>
      </c>
      <c r="N74" s="18">
        <f>IFERROR(Tabla1[[#This Row],[PVF]]-Tabla1[[#This Row],[PRECIO U.]],"")</f>
        <v>3.18</v>
      </c>
    </row>
    <row r="75" spans="2:14" x14ac:dyDescent="0.25">
      <c r="B75" t="s">
        <v>85</v>
      </c>
      <c r="C75" s="1" t="s">
        <v>35</v>
      </c>
      <c r="D75" t="s">
        <v>28</v>
      </c>
      <c r="E75" s="15" t="s">
        <v>109</v>
      </c>
      <c r="F75" s="13">
        <v>3.96</v>
      </c>
      <c r="G75" s="14">
        <v>1</v>
      </c>
      <c r="H75" s="1">
        <f t="shared" si="2"/>
        <v>4.7519999999999998</v>
      </c>
      <c r="I75" s="16">
        <v>7</v>
      </c>
      <c r="J75" s="2">
        <f>Tabla1[[#This Row],[PVF]]*Tabla1[[#This Row],[UNIDADES]]</f>
        <v>7</v>
      </c>
      <c r="K75" s="9"/>
      <c r="L75" s="10">
        <f>Tabla1[[#This Row],[EMP.]]+Tabla1[[#This Row],[PVF]]</f>
        <v>7</v>
      </c>
      <c r="M75" s="17">
        <f>IFERROR((Tabla1[[#This Row],[PVF]]-Tabla1[[#This Row],[PRECIO U.]])/Tabla1[[#This Row],[PRECIO U.]],"")</f>
        <v>0.47306397306397313</v>
      </c>
      <c r="N75" s="18">
        <f>IFERROR(Tabla1[[#This Row],[PVF]]-Tabla1[[#This Row],[PRECIO U.]],"")</f>
        <v>2.2480000000000002</v>
      </c>
    </row>
    <row r="76" spans="2:14" x14ac:dyDescent="0.25">
      <c r="B76" t="s">
        <v>85</v>
      </c>
      <c r="C76" s="1" t="s">
        <v>35</v>
      </c>
      <c r="D76" t="s">
        <v>51</v>
      </c>
      <c r="E76" s="15" t="s">
        <v>110</v>
      </c>
      <c r="F76" s="13">
        <v>3.46</v>
      </c>
      <c r="G76" s="14">
        <v>5</v>
      </c>
      <c r="H76" s="1">
        <f t="shared" si="2"/>
        <v>0.83039999999999992</v>
      </c>
      <c r="I76" s="16">
        <v>2</v>
      </c>
      <c r="J76" s="2">
        <f>Tabla1[[#This Row],[PVF]]*Tabla1[[#This Row],[UNIDADES]]</f>
        <v>10</v>
      </c>
      <c r="K76" s="9"/>
      <c r="L76" s="10">
        <f>Tabla1[[#This Row],[EMP.]]+Tabla1[[#This Row],[PVF]]</f>
        <v>2</v>
      </c>
      <c r="M76" s="17">
        <f>IFERROR((Tabla1[[#This Row],[PVF]]-Tabla1[[#This Row],[PRECIO U.]])/Tabla1[[#This Row],[PRECIO U.]],"")</f>
        <v>1.4084778420038537</v>
      </c>
      <c r="N76" s="18">
        <f>IFERROR(Tabla1[[#This Row],[PVF]]-Tabla1[[#This Row],[PRECIO U.]],"")</f>
        <v>1.1696</v>
      </c>
    </row>
    <row r="77" spans="2:14" x14ac:dyDescent="0.25">
      <c r="B77" t="s">
        <v>85</v>
      </c>
      <c r="C77" s="1" t="s">
        <v>35</v>
      </c>
      <c r="D77" t="s">
        <v>51</v>
      </c>
      <c r="E77" s="15" t="s">
        <v>111</v>
      </c>
      <c r="F77" s="13">
        <v>4.32</v>
      </c>
      <c r="G77" s="14">
        <v>6</v>
      </c>
      <c r="H77" s="1">
        <f t="shared" si="2"/>
        <v>0.8640000000000001</v>
      </c>
      <c r="I77" s="16">
        <v>2.5</v>
      </c>
      <c r="J77" s="2">
        <f>Tabla1[[#This Row],[PVF]]*Tabla1[[#This Row],[UNIDADES]]</f>
        <v>15</v>
      </c>
      <c r="K77" s="9"/>
      <c r="L77" s="10">
        <f>Tabla1[[#This Row],[EMP.]]+Tabla1[[#This Row],[PVF]]</f>
        <v>2.5</v>
      </c>
      <c r="M77" s="17">
        <f>IFERROR((Tabla1[[#This Row],[PVF]]-Tabla1[[#This Row],[PRECIO U.]])/Tabla1[[#This Row],[PRECIO U.]],"")</f>
        <v>1.8935185185185182</v>
      </c>
      <c r="N77" s="18">
        <f>IFERROR(Tabla1[[#This Row],[PVF]]-Tabla1[[#This Row],[PRECIO U.]],"")</f>
        <v>1.6359999999999999</v>
      </c>
    </row>
    <row r="78" spans="2:14" x14ac:dyDescent="0.25">
      <c r="B78" t="s">
        <v>85</v>
      </c>
      <c r="C78" s="1" t="s">
        <v>35</v>
      </c>
      <c r="D78" t="s">
        <v>28</v>
      </c>
      <c r="E78" s="15" t="s">
        <v>112</v>
      </c>
      <c r="F78" s="13">
        <v>6.69</v>
      </c>
      <c r="G78" s="14">
        <v>1</v>
      </c>
      <c r="H78" s="1">
        <f t="shared" si="2"/>
        <v>8.0280000000000005</v>
      </c>
      <c r="I78" s="16">
        <v>13</v>
      </c>
      <c r="J78" s="2">
        <f>Tabla1[[#This Row],[PVF]]*Tabla1[[#This Row],[UNIDADES]]</f>
        <v>13</v>
      </c>
      <c r="K78" s="9"/>
      <c r="L78" s="10">
        <f>Tabla1[[#This Row],[EMP.]]+Tabla1[[#This Row],[PVF]]</f>
        <v>13</v>
      </c>
      <c r="M78" s="17">
        <f>IFERROR((Tabla1[[#This Row],[PVF]]-Tabla1[[#This Row],[PRECIO U.]])/Tabla1[[#This Row],[PRECIO U.]],"")</f>
        <v>0.61933233682112598</v>
      </c>
      <c r="N78" s="18">
        <f>IFERROR(Tabla1[[#This Row],[PVF]]-Tabla1[[#This Row],[PRECIO U.]],"")</f>
        <v>4.9719999999999995</v>
      </c>
    </row>
    <row r="79" spans="2:14" x14ac:dyDescent="0.25">
      <c r="B79" t="s">
        <v>85</v>
      </c>
      <c r="C79" s="1" t="s">
        <v>113</v>
      </c>
      <c r="D79" t="s">
        <v>114</v>
      </c>
      <c r="E79" s="15" t="s">
        <v>115</v>
      </c>
      <c r="F79" s="13">
        <v>1.96</v>
      </c>
      <c r="G79" s="14">
        <v>5</v>
      </c>
      <c r="H79" s="1">
        <f t="shared" si="2"/>
        <v>0.47039999999999998</v>
      </c>
      <c r="I79" s="16">
        <v>1</v>
      </c>
      <c r="J79" s="2">
        <f>Tabla1[[#This Row],[PVF]]*Tabla1[[#This Row],[UNIDADES]]</f>
        <v>5</v>
      </c>
      <c r="K79" s="9"/>
      <c r="L79" s="10">
        <f>Tabla1[[#This Row],[EMP.]]+Tabla1[[#This Row],[PVF]]</f>
        <v>1</v>
      </c>
      <c r="M79" s="17">
        <f>IFERROR((Tabla1[[#This Row],[PVF]]-Tabla1[[#This Row],[PRECIO U.]])/Tabla1[[#This Row],[PRECIO U.]],"")</f>
        <v>1.1258503401360547</v>
      </c>
      <c r="N79" s="18">
        <f>IFERROR(Tabla1[[#This Row],[PVF]]-Tabla1[[#This Row],[PRECIO U.]],"")</f>
        <v>0.52960000000000007</v>
      </c>
    </row>
    <row r="80" spans="2:14" x14ac:dyDescent="0.25">
      <c r="B80" t="s">
        <v>85</v>
      </c>
      <c r="C80" s="1" t="s">
        <v>35</v>
      </c>
      <c r="D80" t="s">
        <v>51</v>
      </c>
      <c r="E80" s="15" t="s">
        <v>116</v>
      </c>
      <c r="F80" s="13">
        <v>1.53</v>
      </c>
      <c r="G80" s="14">
        <v>6</v>
      </c>
      <c r="H80" s="1">
        <f t="shared" si="2"/>
        <v>0.30599999999999999</v>
      </c>
      <c r="I80" s="16">
        <v>1</v>
      </c>
      <c r="J80" s="2">
        <f>Tabla1[[#This Row],[PVF]]*Tabla1[[#This Row],[UNIDADES]]</f>
        <v>6</v>
      </c>
      <c r="K80" s="9"/>
      <c r="L80" s="10">
        <f>Tabla1[[#This Row],[EMP.]]+Tabla1[[#This Row],[PVF]]</f>
        <v>1</v>
      </c>
      <c r="M80" s="17">
        <f>IFERROR((Tabla1[[#This Row],[PVF]]-Tabla1[[#This Row],[PRECIO U.]])/Tabla1[[#This Row],[PRECIO U.]],"")</f>
        <v>2.2679738562091503</v>
      </c>
      <c r="N80" s="18">
        <f>IFERROR(Tabla1[[#This Row],[PVF]]-Tabla1[[#This Row],[PRECIO U.]],"")</f>
        <v>0.69399999999999995</v>
      </c>
    </row>
    <row r="81" spans="2:14" x14ac:dyDescent="0.25">
      <c r="B81" t="s">
        <v>85</v>
      </c>
      <c r="C81" s="1" t="s">
        <v>35</v>
      </c>
      <c r="D81" t="s">
        <v>51</v>
      </c>
      <c r="E81" s="15" t="s">
        <v>117</v>
      </c>
      <c r="F81" s="13">
        <v>2.2799999999999998</v>
      </c>
      <c r="G81" s="14">
        <v>6</v>
      </c>
      <c r="H81" s="1">
        <f t="shared" si="2"/>
        <v>0.45599999999999991</v>
      </c>
      <c r="I81" s="16">
        <v>1</v>
      </c>
      <c r="J81" s="2">
        <f>Tabla1[[#This Row],[PVF]]*Tabla1[[#This Row],[UNIDADES]]</f>
        <v>6</v>
      </c>
      <c r="K81" s="9"/>
      <c r="L81" s="10">
        <f>Tabla1[[#This Row],[EMP.]]+Tabla1[[#This Row],[PVF]]</f>
        <v>1</v>
      </c>
      <c r="M81" s="17">
        <f>IFERROR((Tabla1[[#This Row],[PVF]]-Tabla1[[#This Row],[PRECIO U.]])/Tabla1[[#This Row],[PRECIO U.]],"")</f>
        <v>1.1929824561403513</v>
      </c>
      <c r="N81" s="18">
        <f>IFERROR(Tabla1[[#This Row],[PVF]]-Tabla1[[#This Row],[PRECIO U.]],"")</f>
        <v>0.54400000000000004</v>
      </c>
    </row>
    <row r="82" spans="2:14" x14ac:dyDescent="0.25">
      <c r="B82" t="s">
        <v>85</v>
      </c>
      <c r="C82" s="1" t="s">
        <v>118</v>
      </c>
      <c r="D82" t="s">
        <v>119</v>
      </c>
      <c r="E82" s="15" t="s">
        <v>120</v>
      </c>
      <c r="F82" s="13">
        <v>15.83</v>
      </c>
      <c r="G82" s="14">
        <v>20</v>
      </c>
      <c r="H82" s="1">
        <f t="shared" si="2"/>
        <v>0.94979999999999998</v>
      </c>
      <c r="I82" s="16">
        <v>1.5</v>
      </c>
      <c r="J82" s="2">
        <f>Tabla1[[#This Row],[PVF]]*Tabla1[[#This Row],[UNIDADES]]</f>
        <v>30</v>
      </c>
      <c r="K82" s="9"/>
      <c r="L82" s="10">
        <f>Tabla1[[#This Row],[EMP.]]+Tabla1[[#This Row],[PVF]]</f>
        <v>1.5</v>
      </c>
      <c r="M82" s="17">
        <f>IFERROR((Tabla1[[#This Row],[PVF]]-Tabla1[[#This Row],[PRECIO U.]])/Tabla1[[#This Row],[PRECIO U.]],"")</f>
        <v>0.5792798483891346</v>
      </c>
      <c r="N82" s="18">
        <f>IFERROR(Tabla1[[#This Row],[PVF]]-Tabla1[[#This Row],[PRECIO U.]],"")</f>
        <v>0.55020000000000002</v>
      </c>
    </row>
    <row r="83" spans="2:14" x14ac:dyDescent="0.25">
      <c r="B83" t="s">
        <v>85</v>
      </c>
      <c r="C83" s="1" t="s">
        <v>35</v>
      </c>
      <c r="D83" t="s">
        <v>121</v>
      </c>
      <c r="E83" s="15" t="s">
        <v>122</v>
      </c>
      <c r="F83" s="13">
        <v>2.61</v>
      </c>
      <c r="G83" s="14">
        <v>1</v>
      </c>
      <c r="H83" s="1">
        <f t="shared" si="2"/>
        <v>3.1319999999999997</v>
      </c>
      <c r="I83" s="16">
        <v>6</v>
      </c>
      <c r="J83" s="2">
        <f>Tabla1[[#This Row],[PVF]]*Tabla1[[#This Row],[UNIDADES]]</f>
        <v>6</v>
      </c>
      <c r="K83" s="9"/>
      <c r="L83" s="10">
        <f>Tabla1[[#This Row],[EMP.]]+Tabla1[[#This Row],[PVF]]</f>
        <v>6</v>
      </c>
      <c r="M83" s="17">
        <f>IFERROR((Tabla1[[#This Row],[PVF]]-Tabla1[[#This Row],[PRECIO U.]])/Tabla1[[#This Row],[PRECIO U.]],"")</f>
        <v>0.91570881226053658</v>
      </c>
      <c r="N83" s="18">
        <f>IFERROR(Tabla1[[#This Row],[PVF]]-Tabla1[[#This Row],[PRECIO U.]],"")</f>
        <v>2.8680000000000003</v>
      </c>
    </row>
    <row r="84" spans="2:14" x14ac:dyDescent="0.25">
      <c r="B84" t="s">
        <v>85</v>
      </c>
      <c r="C84" s="1" t="s">
        <v>35</v>
      </c>
      <c r="D84" t="s">
        <v>26</v>
      </c>
      <c r="E84" s="15" t="s">
        <v>123</v>
      </c>
      <c r="F84" s="13">
        <v>2.0499999999999998</v>
      </c>
      <c r="G84" s="14">
        <v>1</v>
      </c>
      <c r="H84" s="1">
        <f t="shared" si="2"/>
        <v>2.4599999999999995</v>
      </c>
      <c r="I84" s="16">
        <v>5</v>
      </c>
      <c r="J84" s="2">
        <f>Tabla1[[#This Row],[PVF]]*Tabla1[[#This Row],[UNIDADES]]</f>
        <v>5</v>
      </c>
      <c r="K84" s="9"/>
      <c r="L84" s="10">
        <f>Tabla1[[#This Row],[EMP.]]+Tabla1[[#This Row],[PVF]]</f>
        <v>5</v>
      </c>
      <c r="M84" s="17">
        <f>IFERROR((Tabla1[[#This Row],[PVF]]-Tabla1[[#This Row],[PRECIO U.]])/Tabla1[[#This Row],[PRECIO U.]],"")</f>
        <v>1.0325203252032524</v>
      </c>
      <c r="N84" s="18">
        <f>IFERROR(Tabla1[[#This Row],[PVF]]-Tabla1[[#This Row],[PRECIO U.]],"")</f>
        <v>2.5400000000000005</v>
      </c>
    </row>
    <row r="85" spans="2:14" x14ac:dyDescent="0.25">
      <c r="B85" t="s">
        <v>85</v>
      </c>
      <c r="C85" s="1" t="s">
        <v>35</v>
      </c>
      <c r="D85" t="s">
        <v>121</v>
      </c>
      <c r="E85" s="15" t="s">
        <v>124</v>
      </c>
      <c r="F85" s="13">
        <v>3.21</v>
      </c>
      <c r="G85" s="14">
        <v>1</v>
      </c>
      <c r="H85" s="1">
        <f t="shared" si="2"/>
        <v>3.8519999999999999</v>
      </c>
      <c r="I85" s="16">
        <v>10</v>
      </c>
      <c r="J85" s="2">
        <f>Tabla1[[#This Row],[PVF]]*Tabla1[[#This Row],[UNIDADES]]</f>
        <v>10</v>
      </c>
      <c r="K85" s="9"/>
      <c r="L85" s="10">
        <f>Tabla1[[#This Row],[EMP.]]+Tabla1[[#This Row],[PVF]]</f>
        <v>10</v>
      </c>
      <c r="M85" s="17">
        <f>IFERROR((Tabla1[[#This Row],[PVF]]-Tabla1[[#This Row],[PRECIO U.]])/Tabla1[[#This Row],[PRECIO U.]],"")</f>
        <v>1.5960539979231567</v>
      </c>
      <c r="N85" s="18">
        <f>IFERROR(Tabla1[[#This Row],[PVF]]-Tabla1[[#This Row],[PRECIO U.]],"")</f>
        <v>6.1479999999999997</v>
      </c>
    </row>
    <row r="86" spans="2:14" x14ac:dyDescent="0.25">
      <c r="B86" t="s">
        <v>85</v>
      </c>
      <c r="C86" s="1" t="s">
        <v>35</v>
      </c>
      <c r="D86" t="s">
        <v>121</v>
      </c>
      <c r="E86" s="15" t="s">
        <v>125</v>
      </c>
      <c r="F86" s="13">
        <v>3.68</v>
      </c>
      <c r="G86" s="14">
        <v>1</v>
      </c>
      <c r="H86" s="1">
        <f t="shared" si="2"/>
        <v>4.4160000000000004</v>
      </c>
      <c r="I86" s="16">
        <v>10</v>
      </c>
      <c r="J86" s="2">
        <f>Tabla1[[#This Row],[PVF]]*Tabla1[[#This Row],[UNIDADES]]</f>
        <v>10</v>
      </c>
      <c r="K86" s="9"/>
      <c r="L86" s="10">
        <f>Tabla1[[#This Row],[EMP.]]+Tabla1[[#This Row],[PVF]]</f>
        <v>10</v>
      </c>
      <c r="M86" s="17">
        <f>IFERROR((Tabla1[[#This Row],[PVF]]-Tabla1[[#This Row],[PRECIO U.]])/Tabla1[[#This Row],[PRECIO U.]],"")</f>
        <v>1.2644927536231882</v>
      </c>
      <c r="N86" s="18">
        <f>IFERROR(Tabla1[[#This Row],[PVF]]-Tabla1[[#This Row],[PRECIO U.]],"")</f>
        <v>5.5839999999999996</v>
      </c>
    </row>
    <row r="87" spans="2:14" x14ac:dyDescent="0.25">
      <c r="B87" t="s">
        <v>85</v>
      </c>
      <c r="C87" s="1" t="s">
        <v>34</v>
      </c>
      <c r="D87" t="s">
        <v>25</v>
      </c>
      <c r="E87" s="15" t="s">
        <v>126</v>
      </c>
      <c r="F87" s="13">
        <v>0.97</v>
      </c>
      <c r="G87" s="14">
        <v>1</v>
      </c>
      <c r="H87" s="1">
        <f t="shared" si="2"/>
        <v>1.1639999999999999</v>
      </c>
      <c r="I87" s="16">
        <v>3</v>
      </c>
      <c r="J87" s="2">
        <f>Tabla1[[#This Row],[PVF]]*Tabla1[[#This Row],[UNIDADES]]</f>
        <v>3</v>
      </c>
      <c r="K87" s="9"/>
      <c r="L87" s="10">
        <f>Tabla1[[#This Row],[EMP.]]+Tabla1[[#This Row],[PVF]]</f>
        <v>3</v>
      </c>
      <c r="M87" s="17">
        <f>IFERROR((Tabla1[[#This Row],[PVF]]-Tabla1[[#This Row],[PRECIO U.]])/Tabla1[[#This Row],[PRECIO U.]],"")</f>
        <v>1.5773195876288661</v>
      </c>
      <c r="N87" s="18">
        <f>IFERROR(Tabla1[[#This Row],[PVF]]-Tabla1[[#This Row],[PRECIO U.]],"")</f>
        <v>1.8360000000000001</v>
      </c>
    </row>
    <row r="88" spans="2:14" x14ac:dyDescent="0.25">
      <c r="B88" t="s">
        <v>85</v>
      </c>
      <c r="C88" s="1" t="s">
        <v>35</v>
      </c>
      <c r="D88" t="s">
        <v>121</v>
      </c>
      <c r="E88" s="15" t="s">
        <v>127</v>
      </c>
      <c r="F88" s="13">
        <v>4.4400000000000004</v>
      </c>
      <c r="G88" s="14">
        <v>1</v>
      </c>
      <c r="H88" s="1">
        <f t="shared" si="2"/>
        <v>5.3280000000000003</v>
      </c>
      <c r="I88" s="16">
        <v>10</v>
      </c>
      <c r="J88" s="2">
        <f>Tabla1[[#This Row],[PVF]]*Tabla1[[#This Row],[UNIDADES]]</f>
        <v>10</v>
      </c>
      <c r="K88" s="9"/>
      <c r="L88" s="10">
        <f>Tabla1[[#This Row],[EMP.]]+Tabla1[[#This Row],[PVF]]</f>
        <v>10</v>
      </c>
      <c r="M88" s="17">
        <f>IFERROR((Tabla1[[#This Row],[PVF]]-Tabla1[[#This Row],[PRECIO U.]])/Tabla1[[#This Row],[PRECIO U.]],"")</f>
        <v>0.87687687687687677</v>
      </c>
      <c r="N88" s="18">
        <f>IFERROR(Tabla1[[#This Row],[PVF]]-Tabla1[[#This Row],[PRECIO U.]],"")</f>
        <v>4.6719999999999997</v>
      </c>
    </row>
    <row r="89" spans="2:14" x14ac:dyDescent="0.25">
      <c r="B89" t="s">
        <v>85</v>
      </c>
      <c r="C89" s="1" t="s">
        <v>35</v>
      </c>
      <c r="D89" t="s">
        <v>121</v>
      </c>
      <c r="E89" s="15" t="s">
        <v>128</v>
      </c>
      <c r="F89" s="13">
        <v>1.83</v>
      </c>
      <c r="G89" s="14">
        <v>1</v>
      </c>
      <c r="H89" s="1">
        <f t="shared" si="2"/>
        <v>2.1960000000000002</v>
      </c>
      <c r="I89" s="16">
        <v>5</v>
      </c>
      <c r="J89" s="2">
        <f>Tabla1[[#This Row],[PVF]]*Tabla1[[#This Row],[UNIDADES]]</f>
        <v>5</v>
      </c>
      <c r="K89" s="9"/>
      <c r="L89" s="10">
        <f>Tabla1[[#This Row],[EMP.]]+Tabla1[[#This Row],[PVF]]</f>
        <v>5</v>
      </c>
      <c r="M89" s="17">
        <f>IFERROR((Tabla1[[#This Row],[PVF]]-Tabla1[[#This Row],[PRECIO U.]])/Tabla1[[#This Row],[PRECIO U.]],"")</f>
        <v>1.2768670309653913</v>
      </c>
      <c r="N89" s="18">
        <f>IFERROR(Tabla1[[#This Row],[PVF]]-Tabla1[[#This Row],[PRECIO U.]],"")</f>
        <v>2.8039999999999998</v>
      </c>
    </row>
    <row r="90" spans="2:14" x14ac:dyDescent="0.25">
      <c r="B90" t="s">
        <v>85</v>
      </c>
      <c r="C90" s="1" t="s">
        <v>35</v>
      </c>
      <c r="D90" t="s">
        <v>121</v>
      </c>
      <c r="E90" s="15" t="s">
        <v>129</v>
      </c>
      <c r="F90" s="13">
        <v>1.79</v>
      </c>
      <c r="G90" s="14">
        <v>1</v>
      </c>
      <c r="H90" s="1">
        <f t="shared" si="2"/>
        <v>2.1480000000000001</v>
      </c>
      <c r="I90" s="16">
        <v>4</v>
      </c>
      <c r="J90" s="2">
        <f>Tabla1[[#This Row],[PVF]]*Tabla1[[#This Row],[UNIDADES]]</f>
        <v>4</v>
      </c>
      <c r="K90" s="9"/>
      <c r="L90" s="10">
        <f>Tabla1[[#This Row],[EMP.]]+Tabla1[[#This Row],[PVF]]</f>
        <v>4</v>
      </c>
      <c r="M90" s="17">
        <f>IFERROR((Tabla1[[#This Row],[PVF]]-Tabla1[[#This Row],[PRECIO U.]])/Tabla1[[#This Row],[PRECIO U.]],"")</f>
        <v>0.86219739292364983</v>
      </c>
      <c r="N90" s="18">
        <f>IFERROR(Tabla1[[#This Row],[PVF]]-Tabla1[[#This Row],[PRECIO U.]],"")</f>
        <v>1.8519999999999999</v>
      </c>
    </row>
    <row r="91" spans="2:14" x14ac:dyDescent="0.25">
      <c r="B91" t="s">
        <v>85</v>
      </c>
      <c r="C91" s="1" t="s">
        <v>35</v>
      </c>
      <c r="D91" t="s">
        <v>58</v>
      </c>
      <c r="E91" s="15" t="s">
        <v>130</v>
      </c>
      <c r="F91" s="13">
        <v>1.67</v>
      </c>
      <c r="G91" s="14">
        <v>1</v>
      </c>
      <c r="H91" s="1">
        <f t="shared" si="2"/>
        <v>2.004</v>
      </c>
      <c r="I91" s="16">
        <v>3</v>
      </c>
      <c r="J91" s="2">
        <f>Tabla1[[#This Row],[PVF]]*Tabla1[[#This Row],[UNIDADES]]</f>
        <v>3</v>
      </c>
      <c r="K91" s="9"/>
      <c r="L91" s="10">
        <f>Tabla1[[#This Row],[EMP.]]+Tabla1[[#This Row],[PVF]]</f>
        <v>3</v>
      </c>
      <c r="M91" s="17">
        <f>IFERROR((Tabla1[[#This Row],[PVF]]-Tabla1[[#This Row],[PRECIO U.]])/Tabla1[[#This Row],[PRECIO U.]],"")</f>
        <v>0.49700598802395207</v>
      </c>
      <c r="N91" s="18">
        <f>IFERROR(Tabla1[[#This Row],[PVF]]-Tabla1[[#This Row],[PRECIO U.]],"")</f>
        <v>0.996</v>
      </c>
    </row>
    <row r="92" spans="2:14" x14ac:dyDescent="0.25">
      <c r="B92" t="s">
        <v>85</v>
      </c>
      <c r="C92" s="1" t="s">
        <v>35</v>
      </c>
      <c r="D92" t="s">
        <v>28</v>
      </c>
      <c r="E92" s="15" t="s">
        <v>131</v>
      </c>
      <c r="F92" s="13">
        <v>3.72</v>
      </c>
      <c r="G92" s="14">
        <v>1</v>
      </c>
      <c r="H92" s="1">
        <f t="shared" si="2"/>
        <v>4.4640000000000004</v>
      </c>
      <c r="I92" s="16">
        <v>7</v>
      </c>
      <c r="J92" s="2">
        <f>Tabla1[[#This Row],[PVF]]*Tabla1[[#This Row],[UNIDADES]]</f>
        <v>7</v>
      </c>
      <c r="K92" s="9"/>
      <c r="L92" s="10">
        <f>Tabla1[[#This Row],[EMP.]]+Tabla1[[#This Row],[PVF]]</f>
        <v>7</v>
      </c>
      <c r="M92" s="17">
        <f>IFERROR((Tabla1[[#This Row],[PVF]]-Tabla1[[#This Row],[PRECIO U.]])/Tabla1[[#This Row],[PRECIO U.]],"")</f>
        <v>0.56810035842293893</v>
      </c>
      <c r="N92" s="18">
        <f>IFERROR(Tabla1[[#This Row],[PVF]]-Tabla1[[#This Row],[PRECIO U.]],"")</f>
        <v>2.5359999999999996</v>
      </c>
    </row>
    <row r="93" spans="2:14" x14ac:dyDescent="0.25">
      <c r="B93" t="s">
        <v>85</v>
      </c>
      <c r="C93" s="1" t="s">
        <v>35</v>
      </c>
      <c r="D93" t="s">
        <v>58</v>
      </c>
      <c r="E93" s="15" t="s">
        <v>132</v>
      </c>
      <c r="F93" s="13">
        <v>1.52</v>
      </c>
      <c r="G93" s="14">
        <v>1</v>
      </c>
      <c r="H93" s="1">
        <f t="shared" si="2"/>
        <v>1.8239999999999998</v>
      </c>
      <c r="I93" s="16">
        <v>3</v>
      </c>
      <c r="J93" s="2">
        <f>Tabla1[[#This Row],[PVF]]*Tabla1[[#This Row],[UNIDADES]]</f>
        <v>3</v>
      </c>
      <c r="K93" s="9"/>
      <c r="L93" s="10">
        <f>Tabla1[[#This Row],[EMP.]]+Tabla1[[#This Row],[PVF]]</f>
        <v>3</v>
      </c>
      <c r="M93" s="17">
        <f>IFERROR((Tabla1[[#This Row],[PVF]]-Tabla1[[#This Row],[PRECIO U.]])/Tabla1[[#This Row],[PRECIO U.]],"")</f>
        <v>0.64473684210526327</v>
      </c>
      <c r="N93" s="18">
        <f>IFERROR(Tabla1[[#This Row],[PVF]]-Tabla1[[#This Row],[PRECIO U.]],"")</f>
        <v>1.1760000000000002</v>
      </c>
    </row>
    <row r="94" spans="2:14" x14ac:dyDescent="0.25">
      <c r="B94" t="s">
        <v>85</v>
      </c>
      <c r="C94" s="1" t="s">
        <v>35</v>
      </c>
      <c r="D94" t="s">
        <v>58</v>
      </c>
      <c r="E94" s="15" t="s">
        <v>133</v>
      </c>
      <c r="F94" s="13">
        <v>1.03</v>
      </c>
      <c r="G94" s="14">
        <v>1</v>
      </c>
      <c r="H94" s="1">
        <f t="shared" si="2"/>
        <v>1.236</v>
      </c>
      <c r="I94" s="16">
        <v>3</v>
      </c>
      <c r="J94" s="2">
        <f>Tabla1[[#This Row],[PVF]]*Tabla1[[#This Row],[UNIDADES]]</f>
        <v>3</v>
      </c>
      <c r="K94" s="9"/>
      <c r="L94" s="10">
        <f>Tabla1[[#This Row],[EMP.]]+Tabla1[[#This Row],[PVF]]</f>
        <v>3</v>
      </c>
      <c r="M94" s="17">
        <f>IFERROR((Tabla1[[#This Row],[PVF]]-Tabla1[[#This Row],[PRECIO U.]])/Tabla1[[#This Row],[PRECIO U.]],"")</f>
        <v>1.4271844660194175</v>
      </c>
      <c r="N94" s="18">
        <f>IFERROR(Tabla1[[#This Row],[PVF]]-Tabla1[[#This Row],[PRECIO U.]],"")</f>
        <v>1.764</v>
      </c>
    </row>
    <row r="95" spans="2:14" x14ac:dyDescent="0.25">
      <c r="B95" t="s">
        <v>85</v>
      </c>
      <c r="C95" s="1" t="s">
        <v>35</v>
      </c>
      <c r="D95" t="s">
        <v>28</v>
      </c>
      <c r="E95" s="15" t="s">
        <v>134</v>
      </c>
      <c r="F95" s="13">
        <v>3.71</v>
      </c>
      <c r="G95" s="14">
        <v>1</v>
      </c>
      <c r="H95" s="1">
        <f t="shared" si="2"/>
        <v>4.452</v>
      </c>
      <c r="I95" s="16">
        <v>7</v>
      </c>
      <c r="J95" s="2">
        <f>Tabla1[[#This Row],[PVF]]*Tabla1[[#This Row],[UNIDADES]]</f>
        <v>7</v>
      </c>
      <c r="K95" s="9"/>
      <c r="L95" s="10">
        <f>Tabla1[[#This Row],[EMP.]]+Tabla1[[#This Row],[PVF]]</f>
        <v>7</v>
      </c>
      <c r="M95" s="17">
        <f>IFERROR((Tabla1[[#This Row],[PVF]]-Tabla1[[#This Row],[PRECIO U.]])/Tabla1[[#This Row],[PRECIO U.]],"")</f>
        <v>0.57232704402515722</v>
      </c>
      <c r="N95" s="18">
        <f>IFERROR(Tabla1[[#This Row],[PVF]]-Tabla1[[#This Row],[PRECIO U.]],"")</f>
        <v>2.548</v>
      </c>
    </row>
    <row r="96" spans="2:14" x14ac:dyDescent="0.25">
      <c r="B96" t="s">
        <v>85</v>
      </c>
      <c r="C96" s="1" t="s">
        <v>34</v>
      </c>
      <c r="D96" t="s">
        <v>26</v>
      </c>
      <c r="E96" s="15" t="s">
        <v>0</v>
      </c>
      <c r="F96" s="13">
        <v>0.74</v>
      </c>
      <c r="G96" s="14">
        <v>1</v>
      </c>
      <c r="H96" s="1">
        <f t="shared" si="2"/>
        <v>0.88800000000000001</v>
      </c>
      <c r="I96" s="16">
        <v>3</v>
      </c>
      <c r="J96" s="2">
        <f>Tabla1[[#This Row],[PVF]]*Tabla1[[#This Row],[UNIDADES]]</f>
        <v>3</v>
      </c>
      <c r="K96" s="9"/>
      <c r="L96" s="10">
        <f>Tabla1[[#This Row],[EMP.]]+Tabla1[[#This Row],[PVF]]</f>
        <v>3</v>
      </c>
      <c r="M96" s="17">
        <f>IFERROR((Tabla1[[#This Row],[PVF]]-Tabla1[[#This Row],[PRECIO U.]])/Tabla1[[#This Row],[PRECIO U.]],"")</f>
        <v>2.3783783783783785</v>
      </c>
      <c r="N96" s="18">
        <f>IFERROR(Tabla1[[#This Row],[PVF]]-Tabla1[[#This Row],[PRECIO U.]],"")</f>
        <v>2.1120000000000001</v>
      </c>
    </row>
    <row r="97" spans="2:14" x14ac:dyDescent="0.25">
      <c r="B97" t="s">
        <v>85</v>
      </c>
      <c r="C97" s="1" t="s">
        <v>35</v>
      </c>
      <c r="D97" t="s">
        <v>28</v>
      </c>
      <c r="E97" s="15" t="s">
        <v>135</v>
      </c>
      <c r="F97" s="13">
        <v>3.7</v>
      </c>
      <c r="G97" s="14">
        <v>1</v>
      </c>
      <c r="H97" s="1">
        <f t="shared" si="2"/>
        <v>4.4400000000000004</v>
      </c>
      <c r="I97" s="16">
        <v>8</v>
      </c>
      <c r="J97" s="2">
        <f>Tabla1[[#This Row],[PVF]]*Tabla1[[#This Row],[UNIDADES]]</f>
        <v>8</v>
      </c>
      <c r="K97" s="9"/>
      <c r="L97" s="10">
        <f>Tabla1[[#This Row],[EMP.]]+Tabla1[[#This Row],[PVF]]</f>
        <v>8</v>
      </c>
      <c r="M97" s="17">
        <f>IFERROR((Tabla1[[#This Row],[PVF]]-Tabla1[[#This Row],[PRECIO U.]])/Tabla1[[#This Row],[PRECIO U.]],"")</f>
        <v>0.80180180180180161</v>
      </c>
      <c r="N97" s="18">
        <f>IFERROR(Tabla1[[#This Row],[PVF]]-Tabla1[[#This Row],[PRECIO U.]],"")</f>
        <v>3.5599999999999996</v>
      </c>
    </row>
    <row r="98" spans="2:14" x14ac:dyDescent="0.25">
      <c r="B98" t="s">
        <v>85</v>
      </c>
      <c r="C98" s="1" t="s">
        <v>34</v>
      </c>
      <c r="D98" t="s">
        <v>26</v>
      </c>
      <c r="E98" s="15" t="s">
        <v>123</v>
      </c>
      <c r="F98" s="13">
        <v>2.46</v>
      </c>
      <c r="G98" s="14">
        <v>1</v>
      </c>
      <c r="H98" s="1">
        <f t="shared" si="2"/>
        <v>2.952</v>
      </c>
      <c r="I98" s="16">
        <v>5</v>
      </c>
      <c r="J98" s="2">
        <f>Tabla1[[#This Row],[PVF]]*Tabla1[[#This Row],[UNIDADES]]</f>
        <v>5</v>
      </c>
      <c r="K98" s="9"/>
      <c r="L98" s="10">
        <f>Tabla1[[#This Row],[EMP.]]+Tabla1[[#This Row],[PVF]]</f>
        <v>5</v>
      </c>
      <c r="M98" s="17">
        <f>IFERROR((Tabla1[[#This Row],[PVF]]-Tabla1[[#This Row],[PRECIO U.]])/Tabla1[[#This Row],[PRECIO U.]],"")</f>
        <v>0.69376693766937669</v>
      </c>
      <c r="N98" s="18">
        <f>IFERROR(Tabla1[[#This Row],[PVF]]-Tabla1[[#This Row],[PRECIO U.]],"")</f>
        <v>2.048</v>
      </c>
    </row>
    <row r="99" spans="2:14" x14ac:dyDescent="0.25">
      <c r="B99" t="s">
        <v>85</v>
      </c>
      <c r="C99" s="1" t="s">
        <v>34</v>
      </c>
      <c r="D99" t="s">
        <v>136</v>
      </c>
      <c r="E99" s="15" t="s">
        <v>137</v>
      </c>
      <c r="F99" s="13">
        <v>2.06</v>
      </c>
      <c r="G99" s="14">
        <v>5</v>
      </c>
      <c r="H99" s="1">
        <f t="shared" si="2"/>
        <v>0.49440000000000001</v>
      </c>
      <c r="I99" s="16">
        <v>1.5</v>
      </c>
      <c r="J99" s="2">
        <f>Tabla1[[#This Row],[PVF]]*Tabla1[[#This Row],[UNIDADES]]</f>
        <v>7.5</v>
      </c>
      <c r="K99" s="9"/>
      <c r="L99" s="10">
        <f>Tabla1[[#This Row],[EMP.]]+Tabla1[[#This Row],[PVF]]</f>
        <v>1.5</v>
      </c>
      <c r="M99" s="17">
        <f>IFERROR((Tabla1[[#This Row],[PVF]]-Tabla1[[#This Row],[PRECIO U.]])/Tabla1[[#This Row],[PRECIO U.]],"")</f>
        <v>2.0339805825242721</v>
      </c>
      <c r="N99" s="18">
        <f>IFERROR(Tabla1[[#This Row],[PVF]]-Tabla1[[#This Row],[PRECIO U.]],"")</f>
        <v>1.0056</v>
      </c>
    </row>
    <row r="100" spans="2:14" x14ac:dyDescent="0.25">
      <c r="B100" t="s">
        <v>85</v>
      </c>
      <c r="C100" s="1" t="s">
        <v>35</v>
      </c>
      <c r="D100" t="s">
        <v>28</v>
      </c>
      <c r="E100" s="15" t="s">
        <v>138</v>
      </c>
      <c r="F100" s="13">
        <v>3.59</v>
      </c>
      <c r="G100" s="14">
        <v>1</v>
      </c>
      <c r="H100" s="1">
        <f t="shared" ref="H100:H131" si="3">IFERROR(F100/G100*1.2,"")</f>
        <v>4.3079999999999998</v>
      </c>
      <c r="I100" s="16">
        <v>7</v>
      </c>
      <c r="J100" s="2">
        <f>Tabla1[[#This Row],[PVF]]*Tabla1[[#This Row],[UNIDADES]]</f>
        <v>7</v>
      </c>
      <c r="K100" s="9"/>
      <c r="L100" s="10">
        <f>Tabla1[[#This Row],[EMP.]]+Tabla1[[#This Row],[PVF]]</f>
        <v>7</v>
      </c>
      <c r="M100" s="17">
        <f>IFERROR((Tabla1[[#This Row],[PVF]]-Tabla1[[#This Row],[PRECIO U.]])/Tabla1[[#This Row],[PRECIO U.]],"")</f>
        <v>0.62488393686165278</v>
      </c>
      <c r="N100" s="18">
        <f>IFERROR(Tabla1[[#This Row],[PVF]]-Tabla1[[#This Row],[PRECIO U.]],"")</f>
        <v>2.6920000000000002</v>
      </c>
    </row>
    <row r="101" spans="2:14" x14ac:dyDescent="0.25">
      <c r="B101" t="s">
        <v>85</v>
      </c>
      <c r="C101" s="1" t="s">
        <v>35</v>
      </c>
      <c r="D101" t="s">
        <v>139</v>
      </c>
      <c r="E101" s="15" t="s">
        <v>140</v>
      </c>
      <c r="F101" s="13">
        <v>2.0499999999999998</v>
      </c>
      <c r="G101" s="14">
        <v>1</v>
      </c>
      <c r="H101" s="1">
        <f t="shared" si="3"/>
        <v>2.4599999999999995</v>
      </c>
      <c r="I101" s="16">
        <v>4</v>
      </c>
      <c r="J101" s="2">
        <f>Tabla1[[#This Row],[PVF]]*Tabla1[[#This Row],[UNIDADES]]</f>
        <v>4</v>
      </c>
      <c r="K101" s="9"/>
      <c r="L101" s="10">
        <f>Tabla1[[#This Row],[EMP.]]+Tabla1[[#This Row],[PVF]]</f>
        <v>4</v>
      </c>
      <c r="M101" s="17">
        <f>IFERROR((Tabla1[[#This Row],[PVF]]-Tabla1[[#This Row],[PRECIO U.]])/Tabla1[[#This Row],[PRECIO U.]],"")</f>
        <v>0.62601626016260192</v>
      </c>
      <c r="N101" s="18">
        <f>IFERROR(Tabla1[[#This Row],[PVF]]-Tabla1[[#This Row],[PRECIO U.]],"")</f>
        <v>1.5400000000000005</v>
      </c>
    </row>
    <row r="102" spans="2:14" x14ac:dyDescent="0.25">
      <c r="B102" t="s">
        <v>85</v>
      </c>
      <c r="C102" s="1" t="s">
        <v>35</v>
      </c>
      <c r="D102" t="s">
        <v>51</v>
      </c>
      <c r="E102" s="15" t="s">
        <v>141</v>
      </c>
      <c r="F102" s="13">
        <v>1.48</v>
      </c>
      <c r="G102" s="14">
        <v>6</v>
      </c>
      <c r="H102" s="1">
        <f t="shared" si="3"/>
        <v>0.29599999999999999</v>
      </c>
      <c r="I102" s="16">
        <v>1</v>
      </c>
      <c r="J102" s="2">
        <f>Tabla1[[#This Row],[PVF]]*Tabla1[[#This Row],[UNIDADES]]</f>
        <v>6</v>
      </c>
      <c r="K102" s="9"/>
      <c r="L102" s="10">
        <f>Tabla1[[#This Row],[EMP.]]+Tabla1[[#This Row],[PVF]]</f>
        <v>1</v>
      </c>
      <c r="M102" s="17">
        <f>IFERROR((Tabla1[[#This Row],[PVF]]-Tabla1[[#This Row],[PRECIO U.]])/Tabla1[[#This Row],[PRECIO U.]],"")</f>
        <v>2.3783783783783785</v>
      </c>
      <c r="N102" s="18">
        <f>IFERROR(Tabla1[[#This Row],[PVF]]-Tabla1[[#This Row],[PRECIO U.]],"")</f>
        <v>0.70399999999999996</v>
      </c>
    </row>
    <row r="103" spans="2:14" x14ac:dyDescent="0.25">
      <c r="B103" t="s">
        <v>85</v>
      </c>
      <c r="C103" s="1" t="s">
        <v>35</v>
      </c>
      <c r="D103" t="s">
        <v>28</v>
      </c>
      <c r="E103" s="15" t="s">
        <v>142</v>
      </c>
      <c r="F103" s="13">
        <v>2.77</v>
      </c>
      <c r="G103" s="14">
        <v>1</v>
      </c>
      <c r="H103" s="1">
        <f t="shared" si="3"/>
        <v>3.3239999999999998</v>
      </c>
      <c r="I103" s="16">
        <v>6</v>
      </c>
      <c r="J103" s="2">
        <f>Tabla1[[#This Row],[PVF]]*Tabla1[[#This Row],[UNIDADES]]</f>
        <v>6</v>
      </c>
      <c r="K103" s="9"/>
      <c r="L103" s="10">
        <f>Tabla1[[#This Row],[EMP.]]+Tabla1[[#This Row],[PVF]]</f>
        <v>6</v>
      </c>
      <c r="M103" s="17">
        <f>IFERROR((Tabla1[[#This Row],[PVF]]-Tabla1[[#This Row],[PRECIO U.]])/Tabla1[[#This Row],[PRECIO U.]],"")</f>
        <v>0.80505415162454885</v>
      </c>
      <c r="N103" s="18">
        <f>IFERROR(Tabla1[[#This Row],[PVF]]-Tabla1[[#This Row],[PRECIO U.]],"")</f>
        <v>2.6760000000000002</v>
      </c>
    </row>
    <row r="104" spans="2:14" x14ac:dyDescent="0.25">
      <c r="B104" t="s">
        <v>85</v>
      </c>
      <c r="C104" s="1" t="s">
        <v>34</v>
      </c>
      <c r="D104" t="s">
        <v>26</v>
      </c>
      <c r="E104" s="15" t="s">
        <v>143</v>
      </c>
      <c r="F104" s="13">
        <v>0.7</v>
      </c>
      <c r="G104" s="14">
        <v>1</v>
      </c>
      <c r="H104" s="1">
        <f t="shared" si="3"/>
        <v>0.84</v>
      </c>
      <c r="I104" s="16">
        <v>2</v>
      </c>
      <c r="J104" s="2">
        <f>Tabla1[[#This Row],[PVF]]*Tabla1[[#This Row],[UNIDADES]]</f>
        <v>2</v>
      </c>
      <c r="K104" s="9"/>
      <c r="L104" s="10">
        <f>Tabla1[[#This Row],[EMP.]]+Tabla1[[#This Row],[PVF]]</f>
        <v>2</v>
      </c>
      <c r="M104" s="17">
        <f>IFERROR((Tabla1[[#This Row],[PVF]]-Tabla1[[#This Row],[PRECIO U.]])/Tabla1[[#This Row],[PRECIO U.]],"")</f>
        <v>1.3809523809523812</v>
      </c>
      <c r="N104" s="18">
        <f>IFERROR(Tabla1[[#This Row],[PVF]]-Tabla1[[#This Row],[PRECIO U.]],"")</f>
        <v>1.1600000000000001</v>
      </c>
    </row>
    <row r="105" spans="2:14" x14ac:dyDescent="0.25">
      <c r="B105" t="s">
        <v>85</v>
      </c>
      <c r="C105" s="1" t="s">
        <v>35</v>
      </c>
      <c r="D105" t="s">
        <v>28</v>
      </c>
      <c r="E105" s="15" t="s">
        <v>144</v>
      </c>
      <c r="F105" s="13">
        <v>1.71</v>
      </c>
      <c r="G105" s="14">
        <v>1</v>
      </c>
      <c r="H105" s="1">
        <f t="shared" si="3"/>
        <v>2.052</v>
      </c>
      <c r="I105" s="16">
        <v>3</v>
      </c>
      <c r="J105" s="2">
        <f>Tabla1[[#This Row],[PVF]]*Tabla1[[#This Row],[UNIDADES]]</f>
        <v>3</v>
      </c>
      <c r="K105" s="9"/>
      <c r="L105" s="10">
        <f>Tabla1[[#This Row],[EMP.]]+Tabla1[[#This Row],[PVF]]</f>
        <v>3</v>
      </c>
      <c r="M105" s="17">
        <f>IFERROR((Tabla1[[#This Row],[PVF]]-Tabla1[[#This Row],[PRECIO U.]])/Tabla1[[#This Row],[PRECIO U.]],"")</f>
        <v>0.46198830409356723</v>
      </c>
      <c r="N105" s="18">
        <f>IFERROR(Tabla1[[#This Row],[PVF]]-Tabla1[[#This Row],[PRECIO U.]],"")</f>
        <v>0.94799999999999995</v>
      </c>
    </row>
    <row r="106" spans="2:14" x14ac:dyDescent="0.25">
      <c r="B106" t="s">
        <v>85</v>
      </c>
      <c r="C106" s="1" t="s">
        <v>35</v>
      </c>
      <c r="D106" t="s">
        <v>28</v>
      </c>
      <c r="E106" s="15" t="s">
        <v>145</v>
      </c>
      <c r="F106" s="13">
        <v>1.99</v>
      </c>
      <c r="G106" s="14">
        <v>1</v>
      </c>
      <c r="H106" s="1">
        <f t="shared" si="3"/>
        <v>2.3879999999999999</v>
      </c>
      <c r="I106" s="16">
        <v>4</v>
      </c>
      <c r="J106" s="2">
        <f>Tabla1[[#This Row],[PVF]]*Tabla1[[#This Row],[UNIDADES]]</f>
        <v>4</v>
      </c>
      <c r="K106" s="9"/>
      <c r="L106" s="10">
        <f>Tabla1[[#This Row],[EMP.]]+Tabla1[[#This Row],[PVF]]</f>
        <v>4</v>
      </c>
      <c r="M106" s="17">
        <f>IFERROR((Tabla1[[#This Row],[PVF]]-Tabla1[[#This Row],[PRECIO U.]])/Tabla1[[#This Row],[PRECIO U.]],"")</f>
        <v>0.67504187604690125</v>
      </c>
      <c r="N106" s="18">
        <f>IFERROR(Tabla1[[#This Row],[PVF]]-Tabla1[[#This Row],[PRECIO U.]],"")</f>
        <v>1.6120000000000001</v>
      </c>
    </row>
    <row r="107" spans="2:14" x14ac:dyDescent="0.25">
      <c r="B107" t="s">
        <v>85</v>
      </c>
      <c r="C107" s="1" t="s">
        <v>35</v>
      </c>
      <c r="D107" t="s">
        <v>28</v>
      </c>
      <c r="E107" s="15" t="s">
        <v>146</v>
      </c>
      <c r="F107" s="13">
        <v>2.17</v>
      </c>
      <c r="G107" s="14">
        <v>1</v>
      </c>
      <c r="H107" s="1">
        <f t="shared" si="3"/>
        <v>2.6039999999999996</v>
      </c>
      <c r="I107" s="16">
        <v>5</v>
      </c>
      <c r="J107" s="2">
        <f>Tabla1[[#This Row],[PVF]]*Tabla1[[#This Row],[UNIDADES]]</f>
        <v>5</v>
      </c>
      <c r="K107" s="9"/>
      <c r="L107" s="10">
        <f>Tabla1[[#This Row],[EMP.]]+Tabla1[[#This Row],[PVF]]</f>
        <v>5</v>
      </c>
      <c r="M107" s="17">
        <f>IFERROR((Tabla1[[#This Row],[PVF]]-Tabla1[[#This Row],[PRECIO U.]])/Tabla1[[#This Row],[PRECIO U.]],"")</f>
        <v>0.92012288786482366</v>
      </c>
      <c r="N107" s="18">
        <f>IFERROR(Tabla1[[#This Row],[PVF]]-Tabla1[[#This Row],[PRECIO U.]],"")</f>
        <v>2.3960000000000004</v>
      </c>
    </row>
    <row r="108" spans="2:14" x14ac:dyDescent="0.25">
      <c r="B108" t="s">
        <v>85</v>
      </c>
      <c r="C108" s="1" t="s">
        <v>34</v>
      </c>
      <c r="D108" t="s">
        <v>136</v>
      </c>
      <c r="E108" s="15" t="s">
        <v>147</v>
      </c>
      <c r="F108" s="13">
        <v>1.1299999999999999</v>
      </c>
      <c r="G108" s="14">
        <v>1</v>
      </c>
      <c r="H108" s="1">
        <f t="shared" si="3"/>
        <v>1.3559999999999999</v>
      </c>
      <c r="I108" s="16">
        <v>2.5</v>
      </c>
      <c r="J108" s="2">
        <f>Tabla1[[#This Row],[PVF]]*Tabla1[[#This Row],[UNIDADES]]</f>
        <v>2.5</v>
      </c>
      <c r="K108" s="9"/>
      <c r="L108" s="10">
        <f>Tabla1[[#This Row],[EMP.]]+Tabla1[[#This Row],[PVF]]</f>
        <v>2.5</v>
      </c>
      <c r="M108" s="17">
        <f>IFERROR((Tabla1[[#This Row],[PVF]]-Tabla1[[#This Row],[PRECIO U.]])/Tabla1[[#This Row],[PRECIO U.]],"")</f>
        <v>0.84365781710914467</v>
      </c>
      <c r="N108" s="18">
        <f>IFERROR(Tabla1[[#This Row],[PVF]]-Tabla1[[#This Row],[PRECIO U.]],"")</f>
        <v>1.1440000000000001</v>
      </c>
    </row>
    <row r="109" spans="2:14" x14ac:dyDescent="0.25">
      <c r="B109" t="s">
        <v>85</v>
      </c>
      <c r="C109" s="1" t="s">
        <v>34</v>
      </c>
      <c r="D109" t="s">
        <v>136</v>
      </c>
      <c r="E109" s="15" t="s">
        <v>148</v>
      </c>
      <c r="F109" s="13">
        <v>1.6</v>
      </c>
      <c r="G109" s="14">
        <v>4</v>
      </c>
      <c r="H109" s="1">
        <f t="shared" si="3"/>
        <v>0.48</v>
      </c>
      <c r="I109" s="16">
        <v>1</v>
      </c>
      <c r="J109" s="2">
        <f>Tabla1[[#This Row],[PVF]]*Tabla1[[#This Row],[UNIDADES]]</f>
        <v>4</v>
      </c>
      <c r="K109" s="9"/>
      <c r="L109" s="10">
        <f>Tabla1[[#This Row],[EMP.]]+Tabla1[[#This Row],[PVF]]</f>
        <v>1</v>
      </c>
      <c r="M109" s="17">
        <f>IFERROR((Tabla1[[#This Row],[PVF]]-Tabla1[[#This Row],[PRECIO U.]])/Tabla1[[#This Row],[PRECIO U.]],"")</f>
        <v>1.0833333333333335</v>
      </c>
      <c r="N109" s="18">
        <f>IFERROR(Tabla1[[#This Row],[PVF]]-Tabla1[[#This Row],[PRECIO U.]],"")</f>
        <v>0.52</v>
      </c>
    </row>
    <row r="110" spans="2:14" x14ac:dyDescent="0.25">
      <c r="B110" t="s">
        <v>85</v>
      </c>
      <c r="C110" s="1" t="s">
        <v>35</v>
      </c>
      <c r="D110" t="s">
        <v>121</v>
      </c>
      <c r="E110" s="15" t="s">
        <v>149</v>
      </c>
      <c r="F110" s="13">
        <v>2.95</v>
      </c>
      <c r="G110" s="14">
        <v>1</v>
      </c>
      <c r="H110" s="1">
        <f t="shared" si="3"/>
        <v>3.54</v>
      </c>
      <c r="I110" s="16">
        <v>5</v>
      </c>
      <c r="J110" s="2">
        <f>Tabla1[[#This Row],[PVF]]*Tabla1[[#This Row],[UNIDADES]]</f>
        <v>5</v>
      </c>
      <c r="K110" s="9"/>
      <c r="L110" s="10">
        <f>Tabla1[[#This Row],[EMP.]]+Tabla1[[#This Row],[PVF]]</f>
        <v>5</v>
      </c>
      <c r="M110" s="17">
        <f>IFERROR((Tabla1[[#This Row],[PVF]]-Tabla1[[#This Row],[PRECIO U.]])/Tabla1[[#This Row],[PRECIO U.]],"")</f>
        <v>0.41242937853107342</v>
      </c>
      <c r="N110" s="18">
        <f>IFERROR(Tabla1[[#This Row],[PVF]]-Tabla1[[#This Row],[PRECIO U.]],"")</f>
        <v>1.46</v>
      </c>
    </row>
    <row r="111" spans="2:14" x14ac:dyDescent="0.25">
      <c r="B111" t="s">
        <v>85</v>
      </c>
      <c r="C111" s="1" t="s">
        <v>35</v>
      </c>
      <c r="D111" t="s">
        <v>28</v>
      </c>
      <c r="E111" s="15" t="s">
        <v>150</v>
      </c>
      <c r="F111" s="13">
        <v>6.27</v>
      </c>
      <c r="G111" s="14">
        <v>1</v>
      </c>
      <c r="H111" s="1">
        <f t="shared" si="3"/>
        <v>7.5239999999999991</v>
      </c>
      <c r="I111" s="16">
        <v>12</v>
      </c>
      <c r="J111" s="2">
        <f>Tabla1[[#This Row],[PVF]]*Tabla1[[#This Row],[UNIDADES]]</f>
        <v>12</v>
      </c>
      <c r="K111" s="9"/>
      <c r="L111" s="10">
        <f>Tabla1[[#This Row],[EMP.]]+Tabla1[[#This Row],[PVF]]</f>
        <v>12</v>
      </c>
      <c r="M111" s="17">
        <f>IFERROR((Tabla1[[#This Row],[PVF]]-Tabla1[[#This Row],[PRECIO U.]])/Tabla1[[#This Row],[PRECIO U.]],"")</f>
        <v>0.59489633173843715</v>
      </c>
      <c r="N111" s="18">
        <f>IFERROR(Tabla1[[#This Row],[PVF]]-Tabla1[[#This Row],[PRECIO U.]],"")</f>
        <v>4.4760000000000009</v>
      </c>
    </row>
    <row r="112" spans="2:14" x14ac:dyDescent="0.25">
      <c r="B112" t="s">
        <v>85</v>
      </c>
      <c r="C112" s="1" t="s">
        <v>35</v>
      </c>
      <c r="D112" t="s">
        <v>28</v>
      </c>
      <c r="E112" s="15" t="s">
        <v>151</v>
      </c>
      <c r="F112" s="13">
        <v>11.84</v>
      </c>
      <c r="G112" s="14">
        <v>1</v>
      </c>
      <c r="H112" s="1">
        <f t="shared" si="3"/>
        <v>14.208</v>
      </c>
      <c r="I112" s="16">
        <v>15</v>
      </c>
      <c r="J112" s="2">
        <f>Tabla1[[#This Row],[PVF]]*Tabla1[[#This Row],[UNIDADES]]</f>
        <v>15</v>
      </c>
      <c r="K112" s="9"/>
      <c r="L112" s="10">
        <f>Tabla1[[#This Row],[EMP.]]+Tabla1[[#This Row],[PVF]]</f>
        <v>15</v>
      </c>
      <c r="M112" s="17">
        <f>IFERROR((Tabla1[[#This Row],[PVF]]-Tabla1[[#This Row],[PRECIO U.]])/Tabla1[[#This Row],[PRECIO U.]],"")</f>
        <v>5.5743243243243229E-2</v>
      </c>
      <c r="N112" s="18">
        <f>IFERROR(Tabla1[[#This Row],[PVF]]-Tabla1[[#This Row],[PRECIO U.]],"")</f>
        <v>0.79199999999999982</v>
      </c>
    </row>
    <row r="113" spans="2:14" x14ac:dyDescent="0.25">
      <c r="B113" t="s">
        <v>152</v>
      </c>
      <c r="C113" s="1" t="s">
        <v>64</v>
      </c>
      <c r="D113" t="s">
        <v>73</v>
      </c>
      <c r="E113" s="15" t="s">
        <v>153</v>
      </c>
      <c r="F113" s="13">
        <v>2.11</v>
      </c>
      <c r="G113" s="14">
        <v>16</v>
      </c>
      <c r="H113" s="1">
        <f t="shared" si="3"/>
        <v>0.15824999999999997</v>
      </c>
      <c r="I113" s="16">
        <v>0.4</v>
      </c>
      <c r="J113" s="2">
        <f>Tabla1[[#This Row],[PVF]]*Tabla1[[#This Row],[UNIDADES]]</f>
        <v>6.4</v>
      </c>
      <c r="K113" s="9"/>
      <c r="L113" s="10">
        <f>Tabla1[[#This Row],[EMP.]]+Tabla1[[#This Row],[PVF]]</f>
        <v>0.4</v>
      </c>
      <c r="M113" s="17">
        <f>IFERROR((Tabla1[[#This Row],[PVF]]-Tabla1[[#This Row],[PRECIO U.]])/Tabla1[[#This Row],[PRECIO U.]],"")</f>
        <v>1.5276461295418646</v>
      </c>
      <c r="N113" s="18">
        <f>IFERROR(Tabla1[[#This Row],[PVF]]-Tabla1[[#This Row],[PRECIO U.]],"")</f>
        <v>0.24175000000000005</v>
      </c>
    </row>
    <row r="114" spans="2:14" x14ac:dyDescent="0.25">
      <c r="B114" t="s">
        <v>152</v>
      </c>
      <c r="C114" s="1" t="s">
        <v>64</v>
      </c>
      <c r="D114" t="s">
        <v>154</v>
      </c>
      <c r="E114" s="15" t="s">
        <v>155</v>
      </c>
      <c r="F114" s="13">
        <v>3.71</v>
      </c>
      <c r="G114" s="14">
        <v>6</v>
      </c>
      <c r="H114" s="1">
        <f t="shared" si="3"/>
        <v>0.74199999999999988</v>
      </c>
      <c r="I114" s="16">
        <v>1.25</v>
      </c>
      <c r="J114" s="2">
        <f>Tabla1[[#This Row],[PVF]]*Tabla1[[#This Row],[UNIDADES]]</f>
        <v>7.5</v>
      </c>
      <c r="K114" s="9"/>
      <c r="L114" s="10">
        <f>Tabla1[[#This Row],[EMP.]]+Tabla1[[#This Row],[PVF]]</f>
        <v>1.25</v>
      </c>
      <c r="M114" s="17">
        <f>IFERROR((Tabla1[[#This Row],[PVF]]-Tabla1[[#This Row],[PRECIO U.]])/Tabla1[[#This Row],[PRECIO U.]],"")</f>
        <v>0.68463611859838303</v>
      </c>
      <c r="N114" s="18">
        <f>IFERROR(Tabla1[[#This Row],[PVF]]-Tabla1[[#This Row],[PRECIO U.]],"")</f>
        <v>0.50800000000000012</v>
      </c>
    </row>
    <row r="115" spans="2:14" x14ac:dyDescent="0.25">
      <c r="B115" t="s">
        <v>152</v>
      </c>
      <c r="C115" s="1" t="s">
        <v>64</v>
      </c>
      <c r="D115" t="s">
        <v>156</v>
      </c>
      <c r="E115" s="15" t="s">
        <v>157</v>
      </c>
      <c r="F115" s="13">
        <v>2.16</v>
      </c>
      <c r="G115" s="14">
        <v>2</v>
      </c>
      <c r="H115" s="1">
        <f t="shared" si="3"/>
        <v>1.296</v>
      </c>
      <c r="I115" s="16">
        <v>1.5</v>
      </c>
      <c r="J115" s="2">
        <f>Tabla1[[#This Row],[PVF]]*Tabla1[[#This Row],[UNIDADES]]</f>
        <v>3</v>
      </c>
      <c r="K115" s="9"/>
      <c r="L115" s="10">
        <f>Tabla1[[#This Row],[EMP.]]+Tabla1[[#This Row],[PVF]]</f>
        <v>1.5</v>
      </c>
      <c r="M115" s="17">
        <f>IFERROR((Tabla1[[#This Row],[PVF]]-Tabla1[[#This Row],[PRECIO U.]])/Tabla1[[#This Row],[PRECIO U.]],"")</f>
        <v>0.15740740740740738</v>
      </c>
      <c r="N115" s="18">
        <f>IFERROR(Tabla1[[#This Row],[PVF]]-Tabla1[[#This Row],[PRECIO U.]],"")</f>
        <v>0.20399999999999996</v>
      </c>
    </row>
    <row r="116" spans="2:14" x14ac:dyDescent="0.25">
      <c r="B116" t="s">
        <v>152</v>
      </c>
      <c r="C116" s="1" t="s">
        <v>64</v>
      </c>
      <c r="D116" t="s">
        <v>65</v>
      </c>
      <c r="E116" s="15" t="s">
        <v>158</v>
      </c>
      <c r="F116" s="13">
        <v>6.62</v>
      </c>
      <c r="G116" s="14">
        <v>24</v>
      </c>
      <c r="H116" s="1">
        <f t="shared" si="3"/>
        <v>0.33099999999999996</v>
      </c>
      <c r="I116" s="16">
        <v>0.5</v>
      </c>
      <c r="J116" s="2">
        <f>Tabla1[[#This Row],[PVF]]*Tabla1[[#This Row],[UNIDADES]]</f>
        <v>12</v>
      </c>
      <c r="K116" s="9"/>
      <c r="L116" s="10">
        <f>Tabla1[[#This Row],[EMP.]]+Tabla1[[#This Row],[PVF]]</f>
        <v>0.5</v>
      </c>
      <c r="M116" s="17">
        <f>IFERROR((Tabla1[[#This Row],[PVF]]-Tabla1[[#This Row],[PRECIO U.]])/Tabla1[[#This Row],[PRECIO U.]],"")</f>
        <v>0.51057401812688841</v>
      </c>
      <c r="N116" s="18">
        <f>IFERROR(Tabla1[[#This Row],[PVF]]-Tabla1[[#This Row],[PRECIO U.]],"")</f>
        <v>0.16900000000000004</v>
      </c>
    </row>
    <row r="117" spans="2:14" x14ac:dyDescent="0.25">
      <c r="B117" t="s">
        <v>152</v>
      </c>
      <c r="C117" s="1" t="s">
        <v>64</v>
      </c>
      <c r="D117" t="s">
        <v>159</v>
      </c>
      <c r="E117" s="15" t="s">
        <v>160</v>
      </c>
      <c r="F117" s="13">
        <v>3.36</v>
      </c>
      <c r="G117" s="14">
        <v>12</v>
      </c>
      <c r="H117" s="1">
        <f t="shared" si="3"/>
        <v>0.33599999999999997</v>
      </c>
      <c r="I117" s="16">
        <v>1.25</v>
      </c>
      <c r="J117" s="2">
        <f>Tabla1[[#This Row],[PVF]]*Tabla1[[#This Row],[UNIDADES]]</f>
        <v>15</v>
      </c>
      <c r="K117" s="9"/>
      <c r="L117" s="10">
        <f>Tabla1[[#This Row],[EMP.]]+Tabla1[[#This Row],[PVF]]</f>
        <v>1.25</v>
      </c>
      <c r="M117" s="17">
        <f>IFERROR((Tabla1[[#This Row],[PVF]]-Tabla1[[#This Row],[PRECIO U.]])/Tabla1[[#This Row],[PRECIO U.]],"")</f>
        <v>2.7202380952380958</v>
      </c>
      <c r="N117" s="18">
        <f>IFERROR(Tabla1[[#This Row],[PVF]]-Tabla1[[#This Row],[PRECIO U.]],"")</f>
        <v>0.91400000000000003</v>
      </c>
    </row>
    <row r="118" spans="2:14" x14ac:dyDescent="0.25">
      <c r="B118" t="s">
        <v>152</v>
      </c>
      <c r="C118" s="1" t="s">
        <v>34</v>
      </c>
      <c r="D118" t="s">
        <v>39</v>
      </c>
      <c r="E118" s="15" t="s">
        <v>161</v>
      </c>
      <c r="F118" s="13">
        <v>2.95</v>
      </c>
      <c r="G118" s="14">
        <v>1</v>
      </c>
      <c r="H118" s="1">
        <f t="shared" si="3"/>
        <v>3.54</v>
      </c>
      <c r="I118" s="16">
        <v>3.5</v>
      </c>
      <c r="J118" s="2">
        <f>Tabla1[[#This Row],[PVF]]*Tabla1[[#This Row],[UNIDADES]]</f>
        <v>3.5</v>
      </c>
      <c r="K118" s="9">
        <v>0.5</v>
      </c>
      <c r="L118" s="10">
        <f>Tabla1[[#This Row],[EMP.]]+Tabla1[[#This Row],[PVF]]</f>
        <v>4</v>
      </c>
      <c r="M118" s="17">
        <f>IFERROR((Tabla1[[#This Row],[PVF]]-Tabla1[[#This Row],[PRECIO U.]])/Tabla1[[#This Row],[PRECIO U.]],"")</f>
        <v>-1.1299435028248598E-2</v>
      </c>
      <c r="N118" s="18">
        <f>IFERROR(Tabla1[[#This Row],[PVF]]-Tabla1[[#This Row],[PRECIO U.]],"")</f>
        <v>-4.0000000000000036E-2</v>
      </c>
    </row>
    <row r="119" spans="2:14" x14ac:dyDescent="0.25">
      <c r="B119" t="s">
        <v>152</v>
      </c>
      <c r="C119" s="1" t="s">
        <v>34</v>
      </c>
      <c r="D119" t="s">
        <v>39</v>
      </c>
      <c r="E119" s="15" t="s">
        <v>75</v>
      </c>
      <c r="F119" s="13">
        <v>7.82</v>
      </c>
      <c r="G119" s="14">
        <v>7</v>
      </c>
      <c r="H119" s="1">
        <f t="shared" si="3"/>
        <v>1.3405714285714285</v>
      </c>
      <c r="I119" s="16">
        <v>2</v>
      </c>
      <c r="J119" s="2">
        <f>Tabla1[[#This Row],[PVF]]*Tabla1[[#This Row],[UNIDADES]]</f>
        <v>14</v>
      </c>
      <c r="K119" s="9">
        <v>0.5</v>
      </c>
      <c r="L119" s="10">
        <f>Tabla1[[#This Row],[EMP.]]+Tabla1[[#This Row],[PVF]]</f>
        <v>2.5</v>
      </c>
      <c r="M119" s="17">
        <f>IFERROR((Tabla1[[#This Row],[PVF]]-Tabla1[[#This Row],[PRECIO U.]])/Tabla1[[#This Row],[PRECIO U.]],"")</f>
        <v>0.49190110826939476</v>
      </c>
      <c r="N119" s="18">
        <f>IFERROR(Tabla1[[#This Row],[PVF]]-Tabla1[[#This Row],[PRECIO U.]],"")</f>
        <v>0.65942857142857148</v>
      </c>
    </row>
    <row r="120" spans="2:14" x14ac:dyDescent="0.25">
      <c r="B120" t="s">
        <v>152</v>
      </c>
      <c r="C120" s="1" t="s">
        <v>34</v>
      </c>
      <c r="D120" t="s">
        <v>25</v>
      </c>
      <c r="E120" s="15" t="s">
        <v>162</v>
      </c>
      <c r="F120" s="13">
        <v>4.29</v>
      </c>
      <c r="G120" s="14">
        <v>10</v>
      </c>
      <c r="H120" s="1">
        <f t="shared" si="3"/>
        <v>0.51479999999999992</v>
      </c>
      <c r="I120" s="16">
        <v>0.8</v>
      </c>
      <c r="J120" s="2">
        <f>Tabla1[[#This Row],[PVF]]*Tabla1[[#This Row],[UNIDADES]]</f>
        <v>8</v>
      </c>
      <c r="K120" s="9"/>
      <c r="L120" s="10">
        <f>Tabla1[[#This Row],[EMP.]]+Tabla1[[#This Row],[PVF]]</f>
        <v>0.8</v>
      </c>
      <c r="M120" s="17">
        <f>IFERROR((Tabla1[[#This Row],[PVF]]-Tabla1[[#This Row],[PRECIO U.]])/Tabla1[[#This Row],[PRECIO U.]],"")</f>
        <v>0.55400155400155426</v>
      </c>
      <c r="N120" s="18">
        <f>IFERROR(Tabla1[[#This Row],[PVF]]-Tabla1[[#This Row],[PRECIO U.]],"")</f>
        <v>0.28520000000000012</v>
      </c>
    </row>
    <row r="121" spans="2:14" x14ac:dyDescent="0.25">
      <c r="B121" t="s">
        <v>152</v>
      </c>
      <c r="C121" s="1" t="s">
        <v>64</v>
      </c>
      <c r="D121" t="s">
        <v>154</v>
      </c>
      <c r="E121" s="15" t="s">
        <v>163</v>
      </c>
      <c r="F121" s="13">
        <v>4.5199999999999996</v>
      </c>
      <c r="G121" s="14">
        <v>12</v>
      </c>
      <c r="H121" s="1">
        <f t="shared" si="3"/>
        <v>0.45199999999999996</v>
      </c>
      <c r="I121" s="16">
        <v>1</v>
      </c>
      <c r="J121" s="2">
        <f>Tabla1[[#This Row],[PVF]]*Tabla1[[#This Row],[UNIDADES]]</f>
        <v>12</v>
      </c>
      <c r="K121" s="9"/>
      <c r="L121" s="10">
        <f>Tabla1[[#This Row],[EMP.]]+Tabla1[[#This Row],[PVF]]</f>
        <v>1</v>
      </c>
      <c r="M121" s="17">
        <f>IFERROR((Tabla1[[#This Row],[PVF]]-Tabla1[[#This Row],[PRECIO U.]])/Tabla1[[#This Row],[PRECIO U.]],"")</f>
        <v>1.2123893805309736</v>
      </c>
      <c r="N121" s="18">
        <f>IFERROR(Tabla1[[#This Row],[PVF]]-Tabla1[[#This Row],[PRECIO U.]],"")</f>
        <v>0.54800000000000004</v>
      </c>
    </row>
    <row r="122" spans="2:14" x14ac:dyDescent="0.25">
      <c r="B122" t="s">
        <v>152</v>
      </c>
      <c r="C122" s="1" t="s">
        <v>70</v>
      </c>
      <c r="D122" t="s">
        <v>71</v>
      </c>
      <c r="E122" s="15" t="s">
        <v>164</v>
      </c>
      <c r="F122" s="13">
        <v>2.4700000000000002</v>
      </c>
      <c r="G122" s="14">
        <v>12</v>
      </c>
      <c r="H122" s="1">
        <f t="shared" si="3"/>
        <v>0.247</v>
      </c>
      <c r="I122" s="16">
        <v>0.5</v>
      </c>
      <c r="J122" s="2">
        <f>Tabla1[[#This Row],[PVF]]*Tabla1[[#This Row],[UNIDADES]]</f>
        <v>6</v>
      </c>
      <c r="K122" s="9"/>
      <c r="L122" s="10">
        <f>Tabla1[[#This Row],[EMP.]]+Tabla1[[#This Row],[PVF]]</f>
        <v>0.5</v>
      </c>
      <c r="M122" s="17">
        <f>IFERROR((Tabla1[[#This Row],[PVF]]-Tabla1[[#This Row],[PRECIO U.]])/Tabla1[[#This Row],[PRECIO U.]],"")</f>
        <v>1.0242914979757085</v>
      </c>
      <c r="N122" s="18">
        <f>IFERROR(Tabla1[[#This Row],[PVF]]-Tabla1[[#This Row],[PRECIO U.]],"")</f>
        <v>0.253</v>
      </c>
    </row>
    <row r="123" spans="2:14" x14ac:dyDescent="0.25">
      <c r="B123" t="s">
        <v>165</v>
      </c>
      <c r="C123" s="1" t="s">
        <v>35</v>
      </c>
      <c r="D123" t="s">
        <v>28</v>
      </c>
      <c r="E123" s="15" t="s">
        <v>166</v>
      </c>
      <c r="F123" s="13">
        <v>4.67</v>
      </c>
      <c r="G123" s="14">
        <v>1</v>
      </c>
      <c r="H123" s="1">
        <f t="shared" si="3"/>
        <v>5.6040000000000001</v>
      </c>
      <c r="I123" s="16">
        <v>10</v>
      </c>
      <c r="J123" s="2">
        <f>Tabla1[[#This Row],[PVF]]*Tabla1[[#This Row],[UNIDADES]]</f>
        <v>10</v>
      </c>
      <c r="K123" s="9"/>
      <c r="L123" s="10">
        <f>Tabla1[[#This Row],[EMP.]]+Tabla1[[#This Row],[PVF]]</f>
        <v>10</v>
      </c>
      <c r="M123" s="17">
        <f>IFERROR((Tabla1[[#This Row],[PVF]]-Tabla1[[#This Row],[PRECIO U.]])/Tabla1[[#This Row],[PRECIO U.]],"")</f>
        <v>0.78443968593861524</v>
      </c>
      <c r="N123" s="18">
        <f>IFERROR(Tabla1[[#This Row],[PVF]]-Tabla1[[#This Row],[PRECIO U.]],"")</f>
        <v>4.3959999999999999</v>
      </c>
    </row>
    <row r="124" spans="2:14" x14ac:dyDescent="0.25">
      <c r="B124" t="s">
        <v>165</v>
      </c>
      <c r="C124" s="1" t="s">
        <v>35</v>
      </c>
      <c r="D124" t="s">
        <v>28</v>
      </c>
      <c r="E124" s="15" t="s">
        <v>107</v>
      </c>
      <c r="F124" s="13">
        <v>8.08</v>
      </c>
      <c r="G124" s="14">
        <v>1</v>
      </c>
      <c r="H124" s="1">
        <f t="shared" si="3"/>
        <v>9.6959999999999997</v>
      </c>
      <c r="I124" s="16">
        <v>14</v>
      </c>
      <c r="J124" s="2">
        <f>Tabla1[[#This Row],[PVF]]*Tabla1[[#This Row],[UNIDADES]]</f>
        <v>14</v>
      </c>
      <c r="K124" s="9"/>
      <c r="L124" s="10">
        <f>Tabla1[[#This Row],[EMP.]]+Tabla1[[#This Row],[PVF]]</f>
        <v>14</v>
      </c>
      <c r="M124" s="17">
        <f>IFERROR((Tabla1[[#This Row],[PVF]]-Tabla1[[#This Row],[PRECIO U.]])/Tabla1[[#This Row],[PRECIO U.]],"")</f>
        <v>0.44389438943894394</v>
      </c>
      <c r="N124" s="18">
        <f>IFERROR(Tabla1[[#This Row],[PVF]]-Tabla1[[#This Row],[PRECIO U.]],"")</f>
        <v>4.3040000000000003</v>
      </c>
    </row>
    <row r="125" spans="2:14" x14ac:dyDescent="0.25">
      <c r="B125" t="s">
        <v>165</v>
      </c>
      <c r="C125" s="1" t="s">
        <v>35</v>
      </c>
      <c r="D125" t="s">
        <v>28</v>
      </c>
      <c r="E125" s="15" t="s">
        <v>167</v>
      </c>
      <c r="F125" s="13">
        <v>6.15</v>
      </c>
      <c r="G125" s="14">
        <v>1</v>
      </c>
      <c r="H125" s="1">
        <f t="shared" si="3"/>
        <v>7.38</v>
      </c>
      <c r="I125" s="16">
        <v>11</v>
      </c>
      <c r="J125" s="2">
        <f>Tabla1[[#This Row],[PVF]]*Tabla1[[#This Row],[UNIDADES]]</f>
        <v>11</v>
      </c>
      <c r="K125" s="9"/>
      <c r="L125" s="10">
        <f>Tabla1[[#This Row],[EMP.]]+Tabla1[[#This Row],[PVF]]</f>
        <v>11</v>
      </c>
      <c r="M125" s="17">
        <f>IFERROR((Tabla1[[#This Row],[PVF]]-Tabla1[[#This Row],[PRECIO U.]])/Tabla1[[#This Row],[PRECIO U.]],"")</f>
        <v>0.49051490514905149</v>
      </c>
      <c r="N125" s="18">
        <f>IFERROR(Tabla1[[#This Row],[PVF]]-Tabla1[[#This Row],[PRECIO U.]],"")</f>
        <v>3.62</v>
      </c>
    </row>
    <row r="126" spans="2:14" x14ac:dyDescent="0.25">
      <c r="B126" t="s">
        <v>165</v>
      </c>
      <c r="C126" s="1" t="s">
        <v>35</v>
      </c>
      <c r="D126" t="s">
        <v>28</v>
      </c>
      <c r="E126" s="15" t="s">
        <v>168</v>
      </c>
      <c r="F126" s="13">
        <v>2.4900000000000002</v>
      </c>
      <c r="G126" s="14">
        <v>1</v>
      </c>
      <c r="H126" s="1">
        <f t="shared" si="3"/>
        <v>2.988</v>
      </c>
      <c r="I126" s="16">
        <v>5.5</v>
      </c>
      <c r="J126" s="2">
        <f>Tabla1[[#This Row],[PVF]]*Tabla1[[#This Row],[UNIDADES]]</f>
        <v>5.5</v>
      </c>
      <c r="K126" s="9"/>
      <c r="L126" s="10">
        <f>Tabla1[[#This Row],[EMP.]]+Tabla1[[#This Row],[PVF]]</f>
        <v>5.5</v>
      </c>
      <c r="M126" s="17">
        <f>IFERROR((Tabla1[[#This Row],[PVF]]-Tabla1[[#This Row],[PRECIO U.]])/Tabla1[[#This Row],[PRECIO U.]],"")</f>
        <v>0.84069611780455156</v>
      </c>
      <c r="N126" s="18">
        <f>IFERROR(Tabla1[[#This Row],[PVF]]-Tabla1[[#This Row],[PRECIO U.]],"")</f>
        <v>2.512</v>
      </c>
    </row>
    <row r="127" spans="2:14" x14ac:dyDescent="0.25">
      <c r="B127" t="s">
        <v>165</v>
      </c>
      <c r="C127" s="1" t="s">
        <v>35</v>
      </c>
      <c r="D127" t="s">
        <v>28</v>
      </c>
      <c r="E127" s="15" t="s">
        <v>169</v>
      </c>
      <c r="F127" s="13">
        <v>2.9</v>
      </c>
      <c r="G127" s="14">
        <v>1</v>
      </c>
      <c r="H127" s="1">
        <f t="shared" si="3"/>
        <v>3.48</v>
      </c>
      <c r="I127" s="16">
        <v>5</v>
      </c>
      <c r="J127" s="2">
        <f>Tabla1[[#This Row],[PVF]]*Tabla1[[#This Row],[UNIDADES]]</f>
        <v>5</v>
      </c>
      <c r="K127" s="9"/>
      <c r="L127" s="10">
        <f>Tabla1[[#This Row],[EMP.]]+Tabla1[[#This Row],[PVF]]</f>
        <v>5</v>
      </c>
      <c r="M127" s="17">
        <f>IFERROR((Tabla1[[#This Row],[PVF]]-Tabla1[[#This Row],[PRECIO U.]])/Tabla1[[#This Row],[PRECIO U.]],"")</f>
        <v>0.43678160919540232</v>
      </c>
      <c r="N127" s="18">
        <f>IFERROR(Tabla1[[#This Row],[PVF]]-Tabla1[[#This Row],[PRECIO U.]],"")</f>
        <v>1.52</v>
      </c>
    </row>
    <row r="128" spans="2:14" x14ac:dyDescent="0.25">
      <c r="B128" t="s">
        <v>165</v>
      </c>
      <c r="C128" s="1" t="s">
        <v>35</v>
      </c>
      <c r="D128" t="s">
        <v>28</v>
      </c>
      <c r="E128" s="15" t="s">
        <v>170</v>
      </c>
      <c r="F128" s="13">
        <v>1.17</v>
      </c>
      <c r="G128" s="14">
        <v>1</v>
      </c>
      <c r="H128" s="1">
        <f t="shared" si="3"/>
        <v>1.4039999999999999</v>
      </c>
      <c r="I128" s="16">
        <v>3.5</v>
      </c>
      <c r="J128" s="2">
        <f>Tabla1[[#This Row],[PVF]]*Tabla1[[#This Row],[UNIDADES]]</f>
        <v>3.5</v>
      </c>
      <c r="K128" s="9"/>
      <c r="L128" s="10">
        <f>Tabla1[[#This Row],[EMP.]]+Tabla1[[#This Row],[PVF]]</f>
        <v>3.5</v>
      </c>
      <c r="M128" s="17">
        <f>IFERROR((Tabla1[[#This Row],[PVF]]-Tabla1[[#This Row],[PRECIO U.]])/Tabla1[[#This Row],[PRECIO U.]],"")</f>
        <v>1.4928774928774931</v>
      </c>
      <c r="N128" s="18">
        <f>IFERROR(Tabla1[[#This Row],[PVF]]-Tabla1[[#This Row],[PRECIO U.]],"")</f>
        <v>2.0960000000000001</v>
      </c>
    </row>
    <row r="129" spans="2:14" x14ac:dyDescent="0.25">
      <c r="B129" t="s">
        <v>165</v>
      </c>
      <c r="C129" s="1" t="s">
        <v>35</v>
      </c>
      <c r="D129" t="s">
        <v>28</v>
      </c>
      <c r="E129" s="15" t="s">
        <v>171</v>
      </c>
      <c r="F129" s="13">
        <v>1.03</v>
      </c>
      <c r="G129" s="14">
        <v>1</v>
      </c>
      <c r="H129" s="1">
        <f t="shared" si="3"/>
        <v>1.236</v>
      </c>
      <c r="I129" s="16">
        <v>3.5</v>
      </c>
      <c r="J129" s="2">
        <f>Tabla1[[#This Row],[PVF]]*Tabla1[[#This Row],[UNIDADES]]</f>
        <v>3.5</v>
      </c>
      <c r="K129" s="9"/>
      <c r="L129" s="10">
        <f>Tabla1[[#This Row],[EMP.]]+Tabla1[[#This Row],[PVF]]</f>
        <v>3.5</v>
      </c>
      <c r="M129" s="17">
        <f>IFERROR((Tabla1[[#This Row],[PVF]]-Tabla1[[#This Row],[PRECIO U.]])/Tabla1[[#This Row],[PRECIO U.]],"")</f>
        <v>1.8317152103559873</v>
      </c>
      <c r="N129" s="18">
        <f>IFERROR(Tabla1[[#This Row],[PVF]]-Tabla1[[#This Row],[PRECIO U.]],"")</f>
        <v>2.2640000000000002</v>
      </c>
    </row>
    <row r="130" spans="2:14" x14ac:dyDescent="0.25">
      <c r="B130" t="s">
        <v>165</v>
      </c>
      <c r="C130" s="1" t="s">
        <v>35</v>
      </c>
      <c r="D130" t="s">
        <v>28</v>
      </c>
      <c r="E130" s="15" t="s">
        <v>172</v>
      </c>
      <c r="F130" s="13">
        <v>2.34</v>
      </c>
      <c r="G130" s="14">
        <v>1</v>
      </c>
      <c r="H130" s="1">
        <f t="shared" si="3"/>
        <v>2.8079999999999998</v>
      </c>
      <c r="I130" s="16">
        <v>6</v>
      </c>
      <c r="J130" s="2">
        <f>Tabla1[[#This Row],[PVF]]*Tabla1[[#This Row],[UNIDADES]]</f>
        <v>6</v>
      </c>
      <c r="K130" s="9"/>
      <c r="L130" s="10">
        <f>Tabla1[[#This Row],[EMP.]]+Tabla1[[#This Row],[PVF]]</f>
        <v>6</v>
      </c>
      <c r="M130" s="17">
        <f>IFERROR((Tabla1[[#This Row],[PVF]]-Tabla1[[#This Row],[PRECIO U.]])/Tabla1[[#This Row],[PRECIO U.]],"")</f>
        <v>1.1367521367521369</v>
      </c>
      <c r="N130" s="18">
        <f>IFERROR(Tabla1[[#This Row],[PVF]]-Tabla1[[#This Row],[PRECIO U.]],"")</f>
        <v>3.1920000000000002</v>
      </c>
    </row>
    <row r="131" spans="2:14" x14ac:dyDescent="0.25">
      <c r="B131" t="s">
        <v>165</v>
      </c>
      <c r="C131" s="1" t="s">
        <v>35</v>
      </c>
      <c r="D131" t="s">
        <v>28</v>
      </c>
      <c r="E131" s="15" t="s">
        <v>173</v>
      </c>
      <c r="F131" s="13">
        <v>4.8</v>
      </c>
      <c r="G131" s="14">
        <v>1</v>
      </c>
      <c r="H131" s="1">
        <f t="shared" si="3"/>
        <v>5.76</v>
      </c>
      <c r="I131" s="16">
        <v>11</v>
      </c>
      <c r="J131" s="2">
        <f>Tabla1[[#This Row],[PVF]]*Tabla1[[#This Row],[UNIDADES]]</f>
        <v>11</v>
      </c>
      <c r="K131" s="9"/>
      <c r="L131" s="10">
        <f>Tabla1[[#This Row],[EMP.]]+Tabla1[[#This Row],[PVF]]</f>
        <v>11</v>
      </c>
      <c r="M131" s="17">
        <f>IFERROR((Tabla1[[#This Row],[PVF]]-Tabla1[[#This Row],[PRECIO U.]])/Tabla1[[#This Row],[PRECIO U.]],"")</f>
        <v>0.90972222222222232</v>
      </c>
      <c r="N131" s="18">
        <f>IFERROR(Tabla1[[#This Row],[PVF]]-Tabla1[[#This Row],[PRECIO U.]],"")</f>
        <v>5.24</v>
      </c>
    </row>
    <row r="132" spans="2:14" x14ac:dyDescent="0.25">
      <c r="B132" t="s">
        <v>165</v>
      </c>
      <c r="C132" s="1" t="s">
        <v>35</v>
      </c>
      <c r="D132" t="s">
        <v>28</v>
      </c>
      <c r="E132" s="15" t="s">
        <v>174</v>
      </c>
      <c r="F132" s="13">
        <v>2.23</v>
      </c>
      <c r="G132" s="14">
        <v>1</v>
      </c>
      <c r="H132" s="1">
        <f t="shared" ref="H132:H163" si="4">IFERROR(F132/G132*1.2,"")</f>
        <v>2.6759999999999997</v>
      </c>
      <c r="I132" s="16">
        <v>7</v>
      </c>
      <c r="J132" s="2">
        <f>Tabla1[[#This Row],[PVF]]*Tabla1[[#This Row],[UNIDADES]]</f>
        <v>7</v>
      </c>
      <c r="K132" s="9"/>
      <c r="L132" s="10">
        <f>Tabla1[[#This Row],[EMP.]]+Tabla1[[#This Row],[PVF]]</f>
        <v>7</v>
      </c>
      <c r="M132" s="17">
        <f>IFERROR((Tabla1[[#This Row],[PVF]]-Tabla1[[#This Row],[PRECIO U.]])/Tabla1[[#This Row],[PRECIO U.]],"")</f>
        <v>1.6158445440956652</v>
      </c>
      <c r="N132" s="18">
        <f>IFERROR(Tabla1[[#This Row],[PVF]]-Tabla1[[#This Row],[PRECIO U.]],"")</f>
        <v>4.3239999999999998</v>
      </c>
    </row>
    <row r="133" spans="2:14" x14ac:dyDescent="0.25">
      <c r="B133" t="s">
        <v>165</v>
      </c>
      <c r="C133" s="1" t="s">
        <v>35</v>
      </c>
      <c r="D133" t="s">
        <v>28</v>
      </c>
      <c r="E133" s="15" t="s">
        <v>175</v>
      </c>
      <c r="F133" s="13">
        <v>2.0699999999999998</v>
      </c>
      <c r="G133" s="14">
        <v>1</v>
      </c>
      <c r="H133" s="1">
        <f t="shared" si="4"/>
        <v>2.4839999999999995</v>
      </c>
      <c r="I133" s="16">
        <v>6</v>
      </c>
      <c r="J133" s="2">
        <f>Tabla1[[#This Row],[PVF]]*Tabla1[[#This Row],[UNIDADES]]</f>
        <v>6</v>
      </c>
      <c r="K133" s="9"/>
      <c r="L133" s="10">
        <f>Tabla1[[#This Row],[EMP.]]+Tabla1[[#This Row],[PVF]]</f>
        <v>6</v>
      </c>
      <c r="M133" s="17">
        <f>IFERROR((Tabla1[[#This Row],[PVF]]-Tabla1[[#This Row],[PRECIO U.]])/Tabla1[[#This Row],[PRECIO U.]],"")</f>
        <v>1.4154589371980681</v>
      </c>
      <c r="N133" s="18">
        <f>IFERROR(Tabla1[[#This Row],[PVF]]-Tabla1[[#This Row],[PRECIO U.]],"")</f>
        <v>3.5160000000000005</v>
      </c>
    </row>
    <row r="134" spans="2:14" x14ac:dyDescent="0.25">
      <c r="B134" t="s">
        <v>165</v>
      </c>
      <c r="C134" s="1" t="s">
        <v>35</v>
      </c>
      <c r="D134" t="s">
        <v>28</v>
      </c>
      <c r="E134" s="15" t="s">
        <v>150</v>
      </c>
      <c r="F134" s="13">
        <v>6.74</v>
      </c>
      <c r="G134" s="14">
        <v>1</v>
      </c>
      <c r="H134" s="1">
        <f t="shared" si="4"/>
        <v>8.0879999999999992</v>
      </c>
      <c r="I134" s="16">
        <v>13</v>
      </c>
      <c r="J134" s="2">
        <f>Tabla1[[#This Row],[PVF]]*Tabla1[[#This Row],[UNIDADES]]</f>
        <v>13</v>
      </c>
      <c r="K134" s="9"/>
      <c r="L134" s="10">
        <f>Tabla1[[#This Row],[EMP.]]+Tabla1[[#This Row],[PVF]]</f>
        <v>13</v>
      </c>
      <c r="M134" s="17">
        <f>IFERROR((Tabla1[[#This Row],[PVF]]-Tabla1[[#This Row],[PRECIO U.]])/Tabla1[[#This Row],[PRECIO U.]],"")</f>
        <v>0.60731948565776472</v>
      </c>
      <c r="N134" s="18">
        <f>IFERROR(Tabla1[[#This Row],[PVF]]-Tabla1[[#This Row],[PRECIO U.]],"")</f>
        <v>4.9120000000000008</v>
      </c>
    </row>
    <row r="135" spans="2:14" x14ac:dyDescent="0.25">
      <c r="B135" t="s">
        <v>165</v>
      </c>
      <c r="C135" s="1" t="s">
        <v>35</v>
      </c>
      <c r="D135" t="s">
        <v>28</v>
      </c>
      <c r="E135" s="15" t="s">
        <v>176</v>
      </c>
      <c r="F135" s="13">
        <v>2.82</v>
      </c>
      <c r="G135" s="14">
        <v>1</v>
      </c>
      <c r="H135" s="1">
        <f t="shared" si="4"/>
        <v>3.3839999999999999</v>
      </c>
      <c r="I135" s="16">
        <v>7</v>
      </c>
      <c r="J135" s="2">
        <f>Tabla1[[#This Row],[PVF]]*Tabla1[[#This Row],[UNIDADES]]</f>
        <v>7</v>
      </c>
      <c r="K135" s="9"/>
      <c r="L135" s="10">
        <f>Tabla1[[#This Row],[EMP.]]+Tabla1[[#This Row],[PVF]]</f>
        <v>7</v>
      </c>
      <c r="M135" s="17">
        <f>IFERROR((Tabla1[[#This Row],[PVF]]-Tabla1[[#This Row],[PRECIO U.]])/Tabla1[[#This Row],[PRECIO U.]],"")</f>
        <v>1.0685579196217494</v>
      </c>
      <c r="N135" s="18">
        <f>IFERROR(Tabla1[[#This Row],[PVF]]-Tabla1[[#This Row],[PRECIO U.]],"")</f>
        <v>3.6160000000000001</v>
      </c>
    </row>
    <row r="136" spans="2:14" x14ac:dyDescent="0.25">
      <c r="B136" t="s">
        <v>165</v>
      </c>
      <c r="C136" s="1" t="s">
        <v>35</v>
      </c>
      <c r="D136" t="s">
        <v>28</v>
      </c>
      <c r="E136" s="15" t="s">
        <v>177</v>
      </c>
      <c r="F136" s="13">
        <v>6.13</v>
      </c>
      <c r="G136" s="14">
        <v>1</v>
      </c>
      <c r="H136" s="1">
        <f t="shared" si="4"/>
        <v>7.3559999999999999</v>
      </c>
      <c r="I136" s="16">
        <v>12</v>
      </c>
      <c r="J136" s="2">
        <f>Tabla1[[#This Row],[PVF]]*Tabla1[[#This Row],[UNIDADES]]</f>
        <v>12</v>
      </c>
      <c r="K136" s="9"/>
      <c r="L136" s="10">
        <f>Tabla1[[#This Row],[EMP.]]+Tabla1[[#This Row],[PVF]]</f>
        <v>12</v>
      </c>
      <c r="M136" s="17">
        <f>IFERROR((Tabla1[[#This Row],[PVF]]-Tabla1[[#This Row],[PRECIO U.]])/Tabla1[[#This Row],[PRECIO U.]],"")</f>
        <v>0.63132137030995106</v>
      </c>
      <c r="N136" s="18">
        <f>IFERROR(Tabla1[[#This Row],[PVF]]-Tabla1[[#This Row],[PRECIO U.]],"")</f>
        <v>4.6440000000000001</v>
      </c>
    </row>
    <row r="137" spans="2:14" x14ac:dyDescent="0.25">
      <c r="B137" t="s">
        <v>165</v>
      </c>
      <c r="C137" s="1" t="s">
        <v>35</v>
      </c>
      <c r="D137" t="s">
        <v>28</v>
      </c>
      <c r="E137" s="15" t="s">
        <v>178</v>
      </c>
      <c r="F137" s="13">
        <v>1.74</v>
      </c>
      <c r="G137" s="14">
        <v>1</v>
      </c>
      <c r="H137" s="1">
        <f t="shared" si="4"/>
        <v>2.0880000000000001</v>
      </c>
      <c r="I137" s="16">
        <v>5</v>
      </c>
      <c r="J137" s="2">
        <f>Tabla1[[#This Row],[PVF]]*Tabla1[[#This Row],[UNIDADES]]</f>
        <v>5</v>
      </c>
      <c r="K137" s="9"/>
      <c r="L137" s="10">
        <f>Tabla1[[#This Row],[EMP.]]+Tabla1[[#This Row],[PVF]]</f>
        <v>5</v>
      </c>
      <c r="M137" s="17">
        <f>IFERROR((Tabla1[[#This Row],[PVF]]-Tabla1[[#This Row],[PRECIO U.]])/Tabla1[[#This Row],[PRECIO U.]],"")</f>
        <v>1.3946360153256705</v>
      </c>
      <c r="N137" s="18">
        <f>IFERROR(Tabla1[[#This Row],[PVF]]-Tabla1[[#This Row],[PRECIO U.]],"")</f>
        <v>2.9119999999999999</v>
      </c>
    </row>
    <row r="138" spans="2:14" x14ac:dyDescent="0.25">
      <c r="B138" t="s">
        <v>165</v>
      </c>
      <c r="C138" s="1" t="s">
        <v>35</v>
      </c>
      <c r="D138" t="s">
        <v>121</v>
      </c>
      <c r="E138" s="15" t="s">
        <v>179</v>
      </c>
      <c r="F138" s="13">
        <v>4.12</v>
      </c>
      <c r="G138" s="14">
        <v>1</v>
      </c>
      <c r="H138" s="1">
        <f t="shared" si="4"/>
        <v>4.944</v>
      </c>
      <c r="I138" s="16">
        <v>8</v>
      </c>
      <c r="J138" s="2">
        <f>Tabla1[[#This Row],[PVF]]*Tabla1[[#This Row],[UNIDADES]]</f>
        <v>8</v>
      </c>
      <c r="K138" s="9"/>
      <c r="L138" s="10">
        <f>Tabla1[[#This Row],[EMP.]]+Tabla1[[#This Row],[PVF]]</f>
        <v>8</v>
      </c>
      <c r="M138" s="17">
        <f>IFERROR((Tabla1[[#This Row],[PVF]]-Tabla1[[#This Row],[PRECIO U.]])/Tabla1[[#This Row],[PRECIO U.]],"")</f>
        <v>0.6181229773462783</v>
      </c>
      <c r="N138" s="18">
        <f>IFERROR(Tabla1[[#This Row],[PVF]]-Tabla1[[#This Row],[PRECIO U.]],"")</f>
        <v>3.056</v>
      </c>
    </row>
    <row r="139" spans="2:14" x14ac:dyDescent="0.25">
      <c r="B139" t="s">
        <v>165</v>
      </c>
      <c r="C139" s="1" t="s">
        <v>35</v>
      </c>
      <c r="D139" t="s">
        <v>28</v>
      </c>
      <c r="E139" s="15" t="s">
        <v>180</v>
      </c>
      <c r="F139" s="13">
        <v>6.21</v>
      </c>
      <c r="G139" s="14">
        <v>1</v>
      </c>
      <c r="H139" s="1">
        <f t="shared" si="4"/>
        <v>7.452</v>
      </c>
      <c r="I139" s="16">
        <v>12</v>
      </c>
      <c r="J139" s="2">
        <f>Tabla1[[#This Row],[PVF]]*Tabla1[[#This Row],[UNIDADES]]</f>
        <v>12</v>
      </c>
      <c r="K139" s="9"/>
      <c r="L139" s="10">
        <f>Tabla1[[#This Row],[EMP.]]+Tabla1[[#This Row],[PVF]]</f>
        <v>12</v>
      </c>
      <c r="M139" s="17">
        <f>IFERROR((Tabla1[[#This Row],[PVF]]-Tabla1[[#This Row],[PRECIO U.]])/Tabla1[[#This Row],[PRECIO U.]],"")</f>
        <v>0.61030595813204513</v>
      </c>
      <c r="N139" s="18">
        <f>IFERROR(Tabla1[[#This Row],[PVF]]-Tabla1[[#This Row],[PRECIO U.]],"")</f>
        <v>4.548</v>
      </c>
    </row>
    <row r="140" spans="2:14" x14ac:dyDescent="0.25">
      <c r="B140" t="s">
        <v>165</v>
      </c>
      <c r="C140" s="1" t="s">
        <v>34</v>
      </c>
      <c r="D140" t="s">
        <v>39</v>
      </c>
      <c r="E140" s="15" t="s">
        <v>181</v>
      </c>
      <c r="F140" s="13">
        <v>1.83</v>
      </c>
      <c r="G140" s="14">
        <v>1</v>
      </c>
      <c r="H140" s="1">
        <f t="shared" si="4"/>
        <v>2.1960000000000002</v>
      </c>
      <c r="I140" s="16">
        <v>3.5</v>
      </c>
      <c r="J140" s="2">
        <f>Tabla1[[#This Row],[PVF]]*Tabla1[[#This Row],[UNIDADES]]</f>
        <v>3.5</v>
      </c>
      <c r="K140" s="9">
        <v>0.5</v>
      </c>
      <c r="L140" s="10">
        <f>Tabla1[[#This Row],[EMP.]]+Tabla1[[#This Row],[PVF]]</f>
        <v>4</v>
      </c>
      <c r="M140" s="17">
        <f>IFERROR((Tabla1[[#This Row],[PVF]]-Tabla1[[#This Row],[PRECIO U.]])/Tabla1[[#This Row],[PRECIO U.]],"")</f>
        <v>0.59380692167577398</v>
      </c>
      <c r="N140" s="18">
        <f>IFERROR(Tabla1[[#This Row],[PVF]]-Tabla1[[#This Row],[PRECIO U.]],"")</f>
        <v>1.3039999999999998</v>
      </c>
    </row>
    <row r="141" spans="2:14" x14ac:dyDescent="0.25">
      <c r="B141" t="s">
        <v>165</v>
      </c>
      <c r="C141" s="1" t="s">
        <v>34</v>
      </c>
      <c r="D141" t="s">
        <v>182</v>
      </c>
      <c r="E141" s="15" t="s">
        <v>183</v>
      </c>
      <c r="F141" s="13">
        <v>1.53</v>
      </c>
      <c r="G141" s="14">
        <v>1</v>
      </c>
      <c r="H141" s="1">
        <f t="shared" si="4"/>
        <v>1.8359999999999999</v>
      </c>
      <c r="I141" s="16">
        <v>3</v>
      </c>
      <c r="J141" s="2">
        <f>Tabla1[[#This Row],[PVF]]*Tabla1[[#This Row],[UNIDADES]]</f>
        <v>3</v>
      </c>
      <c r="K141" s="9">
        <v>0.5</v>
      </c>
      <c r="L141" s="10">
        <f>Tabla1[[#This Row],[EMP.]]+Tabla1[[#This Row],[PVF]]</f>
        <v>3.5</v>
      </c>
      <c r="M141" s="17">
        <f>IFERROR((Tabla1[[#This Row],[PVF]]-Tabla1[[#This Row],[PRECIO U.]])/Tabla1[[#This Row],[PRECIO U.]],"")</f>
        <v>0.63398692810457524</v>
      </c>
      <c r="N141" s="18">
        <f>IFERROR(Tabla1[[#This Row],[PVF]]-Tabla1[[#This Row],[PRECIO U.]],"")</f>
        <v>1.1640000000000001</v>
      </c>
    </row>
    <row r="142" spans="2:14" x14ac:dyDescent="0.25">
      <c r="B142" t="s">
        <v>165</v>
      </c>
      <c r="C142" s="1" t="s">
        <v>34</v>
      </c>
      <c r="D142" t="s">
        <v>39</v>
      </c>
      <c r="E142" s="15" t="s">
        <v>184</v>
      </c>
      <c r="F142" s="13">
        <v>1.79</v>
      </c>
      <c r="G142" s="14">
        <v>1</v>
      </c>
      <c r="H142" s="1">
        <f t="shared" si="4"/>
        <v>2.1480000000000001</v>
      </c>
      <c r="I142" s="16">
        <v>3.5</v>
      </c>
      <c r="J142" s="2">
        <f>Tabla1[[#This Row],[PVF]]*Tabla1[[#This Row],[UNIDADES]]</f>
        <v>3.5</v>
      </c>
      <c r="K142" s="9">
        <v>0.5</v>
      </c>
      <c r="L142" s="10">
        <f>Tabla1[[#This Row],[EMP.]]+Tabla1[[#This Row],[PVF]]</f>
        <v>4</v>
      </c>
      <c r="M142" s="17">
        <f>IFERROR((Tabla1[[#This Row],[PVF]]-Tabla1[[#This Row],[PRECIO U.]])/Tabla1[[#This Row],[PRECIO U.]],"")</f>
        <v>0.62942271880819356</v>
      </c>
      <c r="N142" s="18">
        <f>IFERROR(Tabla1[[#This Row],[PVF]]-Tabla1[[#This Row],[PRECIO U.]],"")</f>
        <v>1.3519999999999999</v>
      </c>
    </row>
    <row r="143" spans="2:14" x14ac:dyDescent="0.25">
      <c r="B143" t="s">
        <v>165</v>
      </c>
      <c r="C143" s="1" t="s">
        <v>34</v>
      </c>
      <c r="D143" t="s">
        <v>39</v>
      </c>
      <c r="E143" s="15" t="s">
        <v>185</v>
      </c>
      <c r="F143" s="13">
        <v>1.71</v>
      </c>
      <c r="G143" s="14">
        <v>1</v>
      </c>
      <c r="H143" s="1">
        <f t="shared" si="4"/>
        <v>2.052</v>
      </c>
      <c r="I143" s="16">
        <v>4.5</v>
      </c>
      <c r="J143" s="2">
        <f>Tabla1[[#This Row],[PVF]]*Tabla1[[#This Row],[UNIDADES]]</f>
        <v>4.5</v>
      </c>
      <c r="K143" s="9">
        <v>0.5</v>
      </c>
      <c r="L143" s="10">
        <f>Tabla1[[#This Row],[EMP.]]+Tabla1[[#This Row],[PVF]]</f>
        <v>5</v>
      </c>
      <c r="M143" s="17">
        <f>IFERROR((Tabla1[[#This Row],[PVF]]-Tabla1[[#This Row],[PRECIO U.]])/Tabla1[[#This Row],[PRECIO U.]],"")</f>
        <v>1.1929824561403508</v>
      </c>
      <c r="N143" s="18">
        <f>IFERROR(Tabla1[[#This Row],[PVF]]-Tabla1[[#This Row],[PRECIO U.]],"")</f>
        <v>2.448</v>
      </c>
    </row>
    <row r="144" spans="2:14" x14ac:dyDescent="0.25">
      <c r="B144" t="s">
        <v>165</v>
      </c>
      <c r="C144" s="1" t="s">
        <v>34</v>
      </c>
      <c r="D144" t="s">
        <v>95</v>
      </c>
      <c r="E144" s="15" t="s">
        <v>186</v>
      </c>
      <c r="F144" s="13">
        <v>5.03</v>
      </c>
      <c r="G144" s="14">
        <v>5</v>
      </c>
      <c r="H144" s="1">
        <f t="shared" si="4"/>
        <v>1.2072000000000001</v>
      </c>
      <c r="I144" s="16">
        <v>2.5</v>
      </c>
      <c r="J144" s="2">
        <f>Tabla1[[#This Row],[PVF]]*Tabla1[[#This Row],[UNIDADES]]</f>
        <v>12.5</v>
      </c>
      <c r="K144" s="9">
        <v>0.25</v>
      </c>
      <c r="L144" s="10">
        <f>Tabla1[[#This Row],[EMP.]]+Tabla1[[#This Row],[PVF]]</f>
        <v>2.75</v>
      </c>
      <c r="M144" s="17">
        <f>IFERROR((Tabla1[[#This Row],[PVF]]-Tabla1[[#This Row],[PRECIO U.]])/Tabla1[[#This Row],[PRECIO U.]],"")</f>
        <v>1.0709078860172299</v>
      </c>
      <c r="N144" s="18">
        <f>IFERROR(Tabla1[[#This Row],[PVF]]-Tabla1[[#This Row],[PRECIO U.]],"")</f>
        <v>1.2927999999999999</v>
      </c>
    </row>
    <row r="145" spans="2:14" x14ac:dyDescent="0.25">
      <c r="B145" t="s">
        <v>165</v>
      </c>
      <c r="C145" s="1" t="s">
        <v>34</v>
      </c>
      <c r="D145" t="s">
        <v>95</v>
      </c>
      <c r="E145" s="15" t="s">
        <v>187</v>
      </c>
      <c r="F145" s="13">
        <v>3.22</v>
      </c>
      <c r="G145" s="14">
        <v>5</v>
      </c>
      <c r="H145" s="1">
        <f t="shared" si="4"/>
        <v>0.77280000000000004</v>
      </c>
      <c r="I145" s="16">
        <v>2.5</v>
      </c>
      <c r="J145" s="2">
        <f>Tabla1[[#This Row],[PVF]]*Tabla1[[#This Row],[UNIDADES]]</f>
        <v>12.5</v>
      </c>
      <c r="K145" s="9">
        <v>0.25</v>
      </c>
      <c r="L145" s="10">
        <f>Tabla1[[#This Row],[EMP.]]+Tabla1[[#This Row],[PVF]]</f>
        <v>2.75</v>
      </c>
      <c r="M145" s="17">
        <f>IFERROR((Tabla1[[#This Row],[PVF]]-Tabla1[[#This Row],[PRECIO U.]])/Tabla1[[#This Row],[PRECIO U.]],"")</f>
        <v>2.2349896480331259</v>
      </c>
      <c r="N145" s="18">
        <f>IFERROR(Tabla1[[#This Row],[PVF]]-Tabla1[[#This Row],[PRECIO U.]],"")</f>
        <v>1.7271999999999998</v>
      </c>
    </row>
    <row r="146" spans="2:14" x14ac:dyDescent="0.25">
      <c r="B146" t="s">
        <v>165</v>
      </c>
      <c r="C146" s="1" t="s">
        <v>34</v>
      </c>
      <c r="D146" t="s">
        <v>136</v>
      </c>
      <c r="E146" s="15" t="s">
        <v>188</v>
      </c>
      <c r="F146" s="13">
        <v>1.1499999999999999</v>
      </c>
      <c r="G146" s="14">
        <v>1</v>
      </c>
      <c r="H146" s="1">
        <f t="shared" si="4"/>
        <v>1.38</v>
      </c>
      <c r="I146" s="16">
        <v>3.5</v>
      </c>
      <c r="J146" s="2">
        <f>Tabla1[[#This Row],[PVF]]*Tabla1[[#This Row],[UNIDADES]]</f>
        <v>3.5</v>
      </c>
      <c r="K146" s="9"/>
      <c r="L146" s="10">
        <f>Tabla1[[#This Row],[EMP.]]+Tabla1[[#This Row],[PVF]]</f>
        <v>3.5</v>
      </c>
      <c r="M146" s="17">
        <f>IFERROR((Tabla1[[#This Row],[PVF]]-Tabla1[[#This Row],[PRECIO U.]])/Tabla1[[#This Row],[PRECIO U.]],"")</f>
        <v>1.5362318840579712</v>
      </c>
      <c r="N146" s="18">
        <f>IFERROR(Tabla1[[#This Row],[PVF]]-Tabla1[[#This Row],[PRECIO U.]],"")</f>
        <v>2.12</v>
      </c>
    </row>
    <row r="147" spans="2:14" x14ac:dyDescent="0.25">
      <c r="B147" t="s">
        <v>165</v>
      </c>
      <c r="C147" s="1" t="s">
        <v>34</v>
      </c>
      <c r="D147" t="s">
        <v>136</v>
      </c>
      <c r="E147" s="15" t="s">
        <v>189</v>
      </c>
      <c r="F147" s="13">
        <v>3.37</v>
      </c>
      <c r="G147" s="14">
        <v>1</v>
      </c>
      <c r="H147" s="1">
        <f t="shared" si="4"/>
        <v>4.0439999999999996</v>
      </c>
      <c r="I147" s="16">
        <v>7</v>
      </c>
      <c r="J147" s="2">
        <f>Tabla1[[#This Row],[PVF]]*Tabla1[[#This Row],[UNIDADES]]</f>
        <v>7</v>
      </c>
      <c r="K147" s="9"/>
      <c r="L147" s="10">
        <f>Tabla1[[#This Row],[EMP.]]+Tabla1[[#This Row],[PVF]]</f>
        <v>7</v>
      </c>
      <c r="M147" s="17">
        <f>IFERROR((Tabla1[[#This Row],[PVF]]-Tabla1[[#This Row],[PRECIO U.]])/Tabla1[[#This Row],[PRECIO U.]],"")</f>
        <v>0.73095944609297747</v>
      </c>
      <c r="N147" s="18">
        <f>IFERROR(Tabla1[[#This Row],[PVF]]-Tabla1[[#This Row],[PRECIO U.]],"")</f>
        <v>2.9560000000000004</v>
      </c>
    </row>
    <row r="148" spans="2:14" x14ac:dyDescent="0.25">
      <c r="B148" t="s">
        <v>165</v>
      </c>
      <c r="C148" s="1" t="s">
        <v>34</v>
      </c>
      <c r="D148" t="s">
        <v>136</v>
      </c>
      <c r="E148" s="15" t="s">
        <v>190</v>
      </c>
      <c r="F148" s="13">
        <v>0.69</v>
      </c>
      <c r="G148" s="14">
        <v>1</v>
      </c>
      <c r="H148" s="1">
        <f t="shared" si="4"/>
        <v>0.82799999999999996</v>
      </c>
      <c r="I148" s="16">
        <v>3</v>
      </c>
      <c r="J148" s="2">
        <f>Tabla1[[#This Row],[PVF]]*Tabla1[[#This Row],[UNIDADES]]</f>
        <v>3</v>
      </c>
      <c r="K148" s="9">
        <v>0.25</v>
      </c>
      <c r="L148" s="10">
        <f>Tabla1[[#This Row],[EMP.]]+Tabla1[[#This Row],[PVF]]</f>
        <v>3.25</v>
      </c>
      <c r="M148" s="17">
        <f>IFERROR((Tabla1[[#This Row],[PVF]]-Tabla1[[#This Row],[PRECIO U.]])/Tabla1[[#This Row],[PRECIO U.]],"")</f>
        <v>2.6231884057971016</v>
      </c>
      <c r="N148" s="18">
        <f>IFERROR(Tabla1[[#This Row],[PVF]]-Tabla1[[#This Row],[PRECIO U.]],"")</f>
        <v>2.1720000000000002</v>
      </c>
    </row>
    <row r="149" spans="2:14" x14ac:dyDescent="0.25">
      <c r="B149" t="s">
        <v>165</v>
      </c>
      <c r="C149" s="1" t="s">
        <v>34</v>
      </c>
      <c r="D149" t="s">
        <v>39</v>
      </c>
      <c r="E149" s="15" t="s">
        <v>191</v>
      </c>
      <c r="F149" s="13">
        <v>1.47</v>
      </c>
      <c r="G149" s="14">
        <v>1</v>
      </c>
      <c r="H149" s="1">
        <f t="shared" si="4"/>
        <v>1.764</v>
      </c>
      <c r="I149" s="16">
        <v>3</v>
      </c>
      <c r="J149" s="2">
        <f>Tabla1[[#This Row],[PVF]]*Tabla1[[#This Row],[UNIDADES]]</f>
        <v>3</v>
      </c>
      <c r="K149" s="9">
        <v>0.5</v>
      </c>
      <c r="L149" s="10">
        <f>Tabla1[[#This Row],[EMP.]]+Tabla1[[#This Row],[PVF]]</f>
        <v>3.5</v>
      </c>
      <c r="M149" s="17">
        <f>IFERROR((Tabla1[[#This Row],[PVF]]-Tabla1[[#This Row],[PRECIO U.]])/Tabla1[[#This Row],[PRECIO U.]],"")</f>
        <v>0.70068027210884354</v>
      </c>
      <c r="N149" s="18">
        <f>IFERROR(Tabla1[[#This Row],[PVF]]-Tabla1[[#This Row],[PRECIO U.]],"")</f>
        <v>1.236</v>
      </c>
    </row>
    <row r="150" spans="2:14" x14ac:dyDescent="0.25">
      <c r="B150" t="s">
        <v>165</v>
      </c>
      <c r="C150" s="1" t="s">
        <v>34</v>
      </c>
      <c r="D150" t="s">
        <v>39</v>
      </c>
      <c r="E150" s="15" t="s">
        <v>192</v>
      </c>
      <c r="F150" s="13">
        <v>2.7</v>
      </c>
      <c r="G150" s="14">
        <v>1</v>
      </c>
      <c r="H150" s="1">
        <f t="shared" si="4"/>
        <v>3.24</v>
      </c>
      <c r="I150" s="16">
        <v>4.5</v>
      </c>
      <c r="J150" s="2">
        <f>Tabla1[[#This Row],[PVF]]*Tabla1[[#This Row],[UNIDADES]]</f>
        <v>4.5</v>
      </c>
      <c r="K150" s="9">
        <v>0.5</v>
      </c>
      <c r="L150" s="10">
        <f>Tabla1[[#This Row],[EMP.]]+Tabla1[[#This Row],[PVF]]</f>
        <v>5</v>
      </c>
      <c r="M150" s="17">
        <f>IFERROR((Tabla1[[#This Row],[PVF]]-Tabla1[[#This Row],[PRECIO U.]])/Tabla1[[#This Row],[PRECIO U.]],"")</f>
        <v>0.38888888888888878</v>
      </c>
      <c r="N150" s="18">
        <f>IFERROR(Tabla1[[#This Row],[PVF]]-Tabla1[[#This Row],[PRECIO U.]],"")</f>
        <v>1.2599999999999998</v>
      </c>
    </row>
    <row r="151" spans="2:14" x14ac:dyDescent="0.25">
      <c r="B151" t="s">
        <v>165</v>
      </c>
      <c r="C151" s="1" t="s">
        <v>34</v>
      </c>
      <c r="D151" t="s">
        <v>26</v>
      </c>
      <c r="E151" s="15" t="s">
        <v>193</v>
      </c>
      <c r="F151" s="13">
        <v>2.88</v>
      </c>
      <c r="G151" s="14">
        <v>1</v>
      </c>
      <c r="H151" s="1">
        <f t="shared" si="4"/>
        <v>3.456</v>
      </c>
      <c r="I151" s="16">
        <v>6</v>
      </c>
      <c r="J151" s="2">
        <f>Tabla1[[#This Row],[PVF]]*Tabla1[[#This Row],[UNIDADES]]</f>
        <v>6</v>
      </c>
      <c r="K151" s="9"/>
      <c r="L151" s="10">
        <f>Tabla1[[#This Row],[EMP.]]+Tabla1[[#This Row],[PVF]]</f>
        <v>6</v>
      </c>
      <c r="M151" s="17">
        <f>IFERROR((Tabla1[[#This Row],[PVF]]-Tabla1[[#This Row],[PRECIO U.]])/Tabla1[[#This Row],[PRECIO U.]],"")</f>
        <v>0.73611111111111116</v>
      </c>
      <c r="N151" s="18">
        <f>IFERROR(Tabla1[[#This Row],[PVF]]-Tabla1[[#This Row],[PRECIO U.]],"")</f>
        <v>2.544</v>
      </c>
    </row>
    <row r="152" spans="2:14" x14ac:dyDescent="0.25">
      <c r="B152" t="s">
        <v>165</v>
      </c>
      <c r="C152" s="1" t="s">
        <v>35</v>
      </c>
      <c r="D152" t="s">
        <v>28</v>
      </c>
      <c r="E152" s="15" t="s">
        <v>194</v>
      </c>
      <c r="F152" s="13">
        <v>2.86</v>
      </c>
      <c r="G152" s="14">
        <v>1</v>
      </c>
      <c r="H152" s="1">
        <f t="shared" si="4"/>
        <v>3.4319999999999999</v>
      </c>
      <c r="I152" s="16">
        <v>6.5</v>
      </c>
      <c r="J152" s="2">
        <f>Tabla1[[#This Row],[PVF]]*Tabla1[[#This Row],[UNIDADES]]</f>
        <v>6.5</v>
      </c>
      <c r="K152" s="9"/>
      <c r="L152" s="10">
        <f>Tabla1[[#This Row],[EMP.]]+Tabla1[[#This Row],[PVF]]</f>
        <v>6.5</v>
      </c>
      <c r="M152" s="17">
        <f>IFERROR((Tabla1[[#This Row],[PVF]]-Tabla1[[#This Row],[PRECIO U.]])/Tabla1[[#This Row],[PRECIO U.]],"")</f>
        <v>0.89393939393939392</v>
      </c>
      <c r="N152" s="18">
        <f>IFERROR(Tabla1[[#This Row],[PVF]]-Tabla1[[#This Row],[PRECIO U.]],"")</f>
        <v>3.0680000000000001</v>
      </c>
    </row>
    <row r="153" spans="2:14" x14ac:dyDescent="0.25">
      <c r="B153" t="s">
        <v>165</v>
      </c>
      <c r="C153" s="1" t="s">
        <v>35</v>
      </c>
      <c r="D153" t="s">
        <v>51</v>
      </c>
      <c r="E153" s="15" t="s">
        <v>195</v>
      </c>
      <c r="F153" s="13">
        <v>1.55</v>
      </c>
      <c r="G153" s="14">
        <v>6</v>
      </c>
      <c r="H153" s="1">
        <f t="shared" si="4"/>
        <v>0.31</v>
      </c>
      <c r="I153" s="16">
        <v>1</v>
      </c>
      <c r="J153" s="2">
        <f>Tabla1[[#This Row],[PVF]]*Tabla1[[#This Row],[UNIDADES]]</f>
        <v>6</v>
      </c>
      <c r="K153" s="9"/>
      <c r="L153" s="10">
        <f>Tabla1[[#This Row],[EMP.]]+Tabla1[[#This Row],[PVF]]</f>
        <v>1</v>
      </c>
      <c r="M153" s="17">
        <f>IFERROR((Tabla1[[#This Row],[PVF]]-Tabla1[[#This Row],[PRECIO U.]])/Tabla1[[#This Row],[PRECIO U.]],"")</f>
        <v>2.225806451612903</v>
      </c>
      <c r="N153" s="18">
        <f>IFERROR(Tabla1[[#This Row],[PVF]]-Tabla1[[#This Row],[PRECIO U.]],"")</f>
        <v>0.69</v>
      </c>
    </row>
    <row r="154" spans="2:14" x14ac:dyDescent="0.25">
      <c r="B154" t="s">
        <v>165</v>
      </c>
      <c r="C154" s="1" t="s">
        <v>35</v>
      </c>
      <c r="D154" t="s">
        <v>28</v>
      </c>
      <c r="E154" s="15" t="s">
        <v>196</v>
      </c>
      <c r="F154" s="13">
        <v>2.63</v>
      </c>
      <c r="G154" s="14">
        <v>1</v>
      </c>
      <c r="H154" s="1">
        <f t="shared" si="4"/>
        <v>3.1559999999999997</v>
      </c>
      <c r="I154" s="16">
        <v>6</v>
      </c>
      <c r="J154" s="2">
        <f>Tabla1[[#This Row],[PVF]]*Tabla1[[#This Row],[UNIDADES]]</f>
        <v>6</v>
      </c>
      <c r="K154" s="9"/>
      <c r="L154" s="10">
        <f>Tabla1[[#This Row],[EMP.]]+Tabla1[[#This Row],[PVF]]</f>
        <v>6</v>
      </c>
      <c r="M154" s="17">
        <f>IFERROR((Tabla1[[#This Row],[PVF]]-Tabla1[[#This Row],[PRECIO U.]])/Tabla1[[#This Row],[PRECIO U.]],"")</f>
        <v>0.90114068441064654</v>
      </c>
      <c r="N154" s="18">
        <f>IFERROR(Tabla1[[#This Row],[PVF]]-Tabla1[[#This Row],[PRECIO U.]],"")</f>
        <v>2.8440000000000003</v>
      </c>
    </row>
    <row r="155" spans="2:14" x14ac:dyDescent="0.25">
      <c r="B155" t="s">
        <v>165</v>
      </c>
      <c r="C155" s="1" t="s">
        <v>35</v>
      </c>
      <c r="D155" t="s">
        <v>28</v>
      </c>
      <c r="E155" s="15" t="s">
        <v>197</v>
      </c>
      <c r="F155" s="13">
        <v>2.9</v>
      </c>
      <c r="G155" s="14">
        <v>1</v>
      </c>
      <c r="H155" s="1">
        <f t="shared" si="4"/>
        <v>3.48</v>
      </c>
      <c r="I155" s="16">
        <v>5.5</v>
      </c>
      <c r="J155" s="2">
        <f>Tabla1[[#This Row],[PVF]]*Tabla1[[#This Row],[UNIDADES]]</f>
        <v>5.5</v>
      </c>
      <c r="K155" s="9"/>
      <c r="L155" s="10">
        <f>Tabla1[[#This Row],[EMP.]]+Tabla1[[#This Row],[PVF]]</f>
        <v>5.5</v>
      </c>
      <c r="M155" s="17">
        <f>IFERROR((Tabla1[[#This Row],[PVF]]-Tabla1[[#This Row],[PRECIO U.]])/Tabla1[[#This Row],[PRECIO U.]],"")</f>
        <v>0.58045977011494254</v>
      </c>
      <c r="N155" s="18">
        <f>IFERROR(Tabla1[[#This Row],[PVF]]-Tabla1[[#This Row],[PRECIO U.]],"")</f>
        <v>2.02</v>
      </c>
    </row>
    <row r="156" spans="2:14" x14ac:dyDescent="0.25">
      <c r="B156" t="s">
        <v>165</v>
      </c>
      <c r="C156" s="1" t="s">
        <v>35</v>
      </c>
      <c r="D156" t="s">
        <v>28</v>
      </c>
      <c r="E156" s="15" t="s">
        <v>198</v>
      </c>
      <c r="F156" s="13">
        <v>5.91</v>
      </c>
      <c r="G156" s="14">
        <v>1</v>
      </c>
      <c r="H156" s="1">
        <f t="shared" si="4"/>
        <v>7.0919999999999996</v>
      </c>
      <c r="I156" s="16">
        <v>12</v>
      </c>
      <c r="J156" s="2">
        <f>Tabla1[[#This Row],[PVF]]*Tabla1[[#This Row],[UNIDADES]]</f>
        <v>12</v>
      </c>
      <c r="K156" s="9"/>
      <c r="L156" s="10">
        <f>Tabla1[[#This Row],[EMP.]]+Tabla1[[#This Row],[PVF]]</f>
        <v>12</v>
      </c>
      <c r="M156" s="17">
        <f>IFERROR((Tabla1[[#This Row],[PVF]]-Tabla1[[#This Row],[PRECIO U.]])/Tabla1[[#This Row],[PRECIO U.]],"")</f>
        <v>0.69204737732656518</v>
      </c>
      <c r="N156" s="18">
        <f>IFERROR(Tabla1[[#This Row],[PVF]]-Tabla1[[#This Row],[PRECIO U.]],"")</f>
        <v>4.9080000000000004</v>
      </c>
    </row>
    <row r="157" spans="2:14" x14ac:dyDescent="0.25">
      <c r="B157" t="s">
        <v>165</v>
      </c>
      <c r="C157" s="1" t="s">
        <v>35</v>
      </c>
      <c r="D157" t="s">
        <v>199</v>
      </c>
      <c r="E157" s="15" t="s">
        <v>200</v>
      </c>
      <c r="F157" s="13">
        <v>2.76</v>
      </c>
      <c r="G157" s="14">
        <v>1</v>
      </c>
      <c r="H157" s="1">
        <f t="shared" si="4"/>
        <v>3.3119999999999998</v>
      </c>
      <c r="I157" s="16">
        <v>7</v>
      </c>
      <c r="J157" s="2">
        <f>Tabla1[[#This Row],[PVF]]*Tabla1[[#This Row],[UNIDADES]]</f>
        <v>7</v>
      </c>
      <c r="K157" s="9"/>
      <c r="L157" s="10">
        <f>Tabla1[[#This Row],[EMP.]]+Tabla1[[#This Row],[PVF]]</f>
        <v>7</v>
      </c>
      <c r="M157" s="17">
        <f>IFERROR((Tabla1[[#This Row],[PVF]]-Tabla1[[#This Row],[PRECIO U.]])/Tabla1[[#This Row],[PRECIO U.]],"")</f>
        <v>1.1135265700483092</v>
      </c>
      <c r="N157" s="18">
        <f>IFERROR(Tabla1[[#This Row],[PVF]]-Tabla1[[#This Row],[PRECIO U.]],"")</f>
        <v>3.6880000000000002</v>
      </c>
    </row>
    <row r="158" spans="2:14" x14ac:dyDescent="0.25">
      <c r="B158" t="s">
        <v>165</v>
      </c>
      <c r="C158" s="1" t="s">
        <v>35</v>
      </c>
      <c r="D158" t="s">
        <v>28</v>
      </c>
      <c r="E158" s="15" t="s">
        <v>201</v>
      </c>
      <c r="F158" s="13">
        <v>3.25</v>
      </c>
      <c r="G158" s="14">
        <v>1</v>
      </c>
      <c r="H158" s="1">
        <f t="shared" si="4"/>
        <v>3.9</v>
      </c>
      <c r="I158" s="16">
        <v>7</v>
      </c>
      <c r="J158" s="2">
        <f>Tabla1[[#This Row],[PVF]]*Tabla1[[#This Row],[UNIDADES]]</f>
        <v>7</v>
      </c>
      <c r="K158" s="9"/>
      <c r="L158" s="10">
        <f>Tabla1[[#This Row],[EMP.]]+Tabla1[[#This Row],[PVF]]</f>
        <v>7</v>
      </c>
      <c r="M158" s="17">
        <f>IFERROR((Tabla1[[#This Row],[PVF]]-Tabla1[[#This Row],[PRECIO U.]])/Tabla1[[#This Row],[PRECIO U.]],"")</f>
        <v>0.79487179487179493</v>
      </c>
      <c r="N158" s="18">
        <f>IFERROR(Tabla1[[#This Row],[PVF]]-Tabla1[[#This Row],[PRECIO U.]],"")</f>
        <v>3.1</v>
      </c>
    </row>
    <row r="159" spans="2:14" x14ac:dyDescent="0.25">
      <c r="B159" t="s">
        <v>165</v>
      </c>
      <c r="C159" s="1" t="s">
        <v>35</v>
      </c>
      <c r="D159" t="s">
        <v>28</v>
      </c>
      <c r="E159" s="15" t="s">
        <v>213</v>
      </c>
      <c r="F159" s="13">
        <v>1.98</v>
      </c>
      <c r="G159" s="14">
        <v>1</v>
      </c>
      <c r="H159" s="1">
        <f t="shared" si="4"/>
        <v>2.3759999999999999</v>
      </c>
      <c r="I159" s="16">
        <v>6</v>
      </c>
      <c r="J159" s="2">
        <f>Tabla1[[#This Row],[PVF]]*Tabla1[[#This Row],[UNIDADES]]</f>
        <v>6</v>
      </c>
      <c r="K159" s="9"/>
      <c r="L159" s="10">
        <f>Tabla1[[#This Row],[EMP.]]+Tabla1[[#This Row],[PVF]]</f>
        <v>6</v>
      </c>
      <c r="M159" s="17">
        <f>IFERROR((Tabla1[[#This Row],[PVF]]-Tabla1[[#This Row],[PRECIO U.]])/Tabla1[[#This Row],[PRECIO U.]],"")</f>
        <v>1.5252525252525253</v>
      </c>
      <c r="N159" s="18">
        <f>IFERROR(Tabla1[[#This Row],[PVF]]-Tabla1[[#This Row],[PRECIO U.]],"")</f>
        <v>3.6240000000000001</v>
      </c>
    </row>
    <row r="160" spans="2:14" x14ac:dyDescent="0.25">
      <c r="B160" t="s">
        <v>165</v>
      </c>
      <c r="C160" s="1" t="s">
        <v>35</v>
      </c>
      <c r="D160" t="s">
        <v>199</v>
      </c>
      <c r="E160" s="15" t="s">
        <v>202</v>
      </c>
      <c r="F160" s="13">
        <v>2.14</v>
      </c>
      <c r="G160" s="14">
        <v>1</v>
      </c>
      <c r="H160" s="1">
        <f t="shared" si="4"/>
        <v>2.5680000000000001</v>
      </c>
      <c r="I160" s="16">
        <v>6</v>
      </c>
      <c r="J160" s="2">
        <f>Tabla1[[#This Row],[PVF]]*Tabla1[[#This Row],[UNIDADES]]</f>
        <v>6</v>
      </c>
      <c r="K160" s="9"/>
      <c r="L160" s="10">
        <f>Tabla1[[#This Row],[EMP.]]+Tabla1[[#This Row],[PVF]]</f>
        <v>6</v>
      </c>
      <c r="M160" s="17">
        <f>IFERROR((Tabla1[[#This Row],[PVF]]-Tabla1[[#This Row],[PRECIO U.]])/Tabla1[[#This Row],[PRECIO U.]],"")</f>
        <v>1.3364485981308412</v>
      </c>
      <c r="N160" s="18">
        <f>IFERROR(Tabla1[[#This Row],[PVF]]-Tabla1[[#This Row],[PRECIO U.]],"")</f>
        <v>3.4319999999999999</v>
      </c>
    </row>
    <row r="161" spans="2:14" x14ac:dyDescent="0.25">
      <c r="B161" t="s">
        <v>165</v>
      </c>
      <c r="C161" s="1" t="s">
        <v>35</v>
      </c>
      <c r="D161" t="s">
        <v>28</v>
      </c>
      <c r="E161" s="15" t="s">
        <v>59</v>
      </c>
      <c r="F161" s="13">
        <v>1.1599999999999999</v>
      </c>
      <c r="G161" s="14">
        <v>1</v>
      </c>
      <c r="H161" s="1">
        <f t="shared" si="4"/>
        <v>1.3919999999999999</v>
      </c>
      <c r="I161" s="16">
        <v>3.5</v>
      </c>
      <c r="J161" s="2">
        <f>Tabla1[[#This Row],[PVF]]*Tabla1[[#This Row],[UNIDADES]]</f>
        <v>3.5</v>
      </c>
      <c r="K161" s="9"/>
      <c r="L161" s="10">
        <f>Tabla1[[#This Row],[EMP.]]+Tabla1[[#This Row],[PVF]]</f>
        <v>3.5</v>
      </c>
      <c r="M161" s="17">
        <f>IFERROR((Tabla1[[#This Row],[PVF]]-Tabla1[[#This Row],[PRECIO U.]])/Tabla1[[#This Row],[PRECIO U.]],"")</f>
        <v>1.5143678160919543</v>
      </c>
      <c r="N161" s="18">
        <f>IFERROR(Tabla1[[#This Row],[PVF]]-Tabla1[[#This Row],[PRECIO U.]],"")</f>
        <v>2.1080000000000001</v>
      </c>
    </row>
    <row r="162" spans="2:14" x14ac:dyDescent="0.25">
      <c r="B162" t="s">
        <v>165</v>
      </c>
      <c r="C162" s="1" t="s">
        <v>35</v>
      </c>
      <c r="D162" t="s">
        <v>28</v>
      </c>
      <c r="E162" s="15" t="s">
        <v>203</v>
      </c>
      <c r="F162" s="13">
        <v>2.34</v>
      </c>
      <c r="G162" s="14">
        <v>1</v>
      </c>
      <c r="H162" s="1">
        <f t="shared" si="4"/>
        <v>2.8079999999999998</v>
      </c>
      <c r="I162" s="16">
        <v>7</v>
      </c>
      <c r="J162" s="2">
        <f>Tabla1[[#This Row],[PVF]]*Tabla1[[#This Row],[UNIDADES]]</f>
        <v>7</v>
      </c>
      <c r="K162" s="9"/>
      <c r="L162" s="10">
        <f>Tabla1[[#This Row],[EMP.]]+Tabla1[[#This Row],[PVF]]</f>
        <v>7</v>
      </c>
      <c r="M162" s="17">
        <f>IFERROR((Tabla1[[#This Row],[PVF]]-Tabla1[[#This Row],[PRECIO U.]])/Tabla1[[#This Row],[PRECIO U.]],"")</f>
        <v>1.4928774928774931</v>
      </c>
      <c r="N162" s="18">
        <f>IFERROR(Tabla1[[#This Row],[PVF]]-Tabla1[[#This Row],[PRECIO U.]],"")</f>
        <v>4.1920000000000002</v>
      </c>
    </row>
    <row r="163" spans="2:14" x14ac:dyDescent="0.25">
      <c r="B163" t="s">
        <v>165</v>
      </c>
      <c r="C163" s="1" t="s">
        <v>35</v>
      </c>
      <c r="D163" t="s">
        <v>28</v>
      </c>
      <c r="E163" s="15" t="s">
        <v>204</v>
      </c>
      <c r="F163" s="13">
        <v>3.03</v>
      </c>
      <c r="G163" s="14">
        <v>1</v>
      </c>
      <c r="H163" s="1">
        <f t="shared" si="4"/>
        <v>3.6359999999999997</v>
      </c>
      <c r="I163" s="16">
        <v>8</v>
      </c>
      <c r="J163" s="2">
        <f>Tabla1[[#This Row],[PVF]]*Tabla1[[#This Row],[UNIDADES]]</f>
        <v>8</v>
      </c>
      <c r="K163" s="9"/>
      <c r="L163" s="10">
        <f>Tabla1[[#This Row],[EMP.]]+Tabla1[[#This Row],[PVF]]</f>
        <v>8</v>
      </c>
      <c r="M163" s="17">
        <f>IFERROR((Tabla1[[#This Row],[PVF]]-Tabla1[[#This Row],[PRECIO U.]])/Tabla1[[#This Row],[PRECIO U.]],"")</f>
        <v>1.2002200220022006</v>
      </c>
      <c r="N163" s="18">
        <f>IFERROR(Tabla1[[#This Row],[PVF]]-Tabla1[[#This Row],[PRECIO U.]],"")</f>
        <v>4.3640000000000008</v>
      </c>
    </row>
    <row r="164" spans="2:14" x14ac:dyDescent="0.25">
      <c r="B164" t="s">
        <v>165</v>
      </c>
      <c r="C164" s="1" t="s">
        <v>34</v>
      </c>
      <c r="D164" t="s">
        <v>26</v>
      </c>
      <c r="E164" s="15" t="s">
        <v>206</v>
      </c>
      <c r="F164" s="13">
        <v>0.96</v>
      </c>
      <c r="G164" s="14">
        <v>1</v>
      </c>
      <c r="H164" s="1">
        <f t="shared" ref="H164:H187" si="5">IFERROR(F164/G164*1.2,"")</f>
        <v>1.1519999999999999</v>
      </c>
      <c r="I164" s="16">
        <v>3</v>
      </c>
      <c r="J164" s="2">
        <f>Tabla1[[#This Row],[PVF]]*Tabla1[[#This Row],[UNIDADES]]</f>
        <v>3</v>
      </c>
      <c r="K164" s="9"/>
      <c r="L164" s="10">
        <f>Tabla1[[#This Row],[EMP.]]+Tabla1[[#This Row],[PVF]]</f>
        <v>3</v>
      </c>
      <c r="M164" s="17">
        <f>IFERROR((Tabla1[[#This Row],[PVF]]-Tabla1[[#This Row],[PRECIO U.]])/Tabla1[[#This Row],[PRECIO U.]],"")</f>
        <v>1.604166666666667</v>
      </c>
      <c r="N164" s="18">
        <f>IFERROR(Tabla1[[#This Row],[PVF]]-Tabla1[[#This Row],[PRECIO U.]],"")</f>
        <v>1.8480000000000001</v>
      </c>
    </row>
    <row r="165" spans="2:14" x14ac:dyDescent="0.25">
      <c r="B165" t="s">
        <v>165</v>
      </c>
      <c r="C165" s="1" t="s">
        <v>34</v>
      </c>
      <c r="D165" t="s">
        <v>26</v>
      </c>
      <c r="E165" s="15" t="s">
        <v>205</v>
      </c>
      <c r="F165" s="13">
        <v>0.89</v>
      </c>
      <c r="G165" s="14">
        <v>1</v>
      </c>
      <c r="H165" s="1">
        <f t="shared" si="5"/>
        <v>1.0680000000000001</v>
      </c>
      <c r="I165" s="16">
        <v>3</v>
      </c>
      <c r="J165" s="2">
        <f>Tabla1[[#This Row],[PVF]]*Tabla1[[#This Row],[UNIDADES]]</f>
        <v>3</v>
      </c>
      <c r="K165" s="9"/>
      <c r="L165" s="10">
        <f>Tabla1[[#This Row],[EMP.]]+Tabla1[[#This Row],[PVF]]</f>
        <v>3</v>
      </c>
      <c r="M165" s="17">
        <f>IFERROR((Tabla1[[#This Row],[PVF]]-Tabla1[[#This Row],[PRECIO U.]])/Tabla1[[#This Row],[PRECIO U.]],"")</f>
        <v>1.8089887640449436</v>
      </c>
      <c r="N165" s="18">
        <f>IFERROR(Tabla1[[#This Row],[PVF]]-Tabla1[[#This Row],[PRECIO U.]],"")</f>
        <v>1.9319999999999999</v>
      </c>
    </row>
    <row r="166" spans="2:14" x14ac:dyDescent="0.25">
      <c r="B166" t="s">
        <v>165</v>
      </c>
      <c r="C166" s="1" t="s">
        <v>35</v>
      </c>
      <c r="D166" t="s">
        <v>28</v>
      </c>
      <c r="E166" s="15" t="s">
        <v>207</v>
      </c>
      <c r="F166" s="13">
        <v>4.6900000000000004</v>
      </c>
      <c r="G166" s="14">
        <v>1</v>
      </c>
      <c r="H166" s="1">
        <f t="shared" si="5"/>
        <v>5.6280000000000001</v>
      </c>
      <c r="I166" s="16">
        <v>10</v>
      </c>
      <c r="J166" s="2">
        <f>Tabla1[[#This Row],[PVF]]*Tabla1[[#This Row],[UNIDADES]]</f>
        <v>10</v>
      </c>
      <c r="K166" s="9"/>
      <c r="L166" s="10">
        <f>Tabla1[[#This Row],[EMP.]]+Tabla1[[#This Row],[PVF]]</f>
        <v>10</v>
      </c>
      <c r="M166" s="17">
        <f>IFERROR((Tabla1[[#This Row],[PVF]]-Tabla1[[#This Row],[PRECIO U.]])/Tabla1[[#This Row],[PRECIO U.]],"")</f>
        <v>0.77683013503909026</v>
      </c>
      <c r="N166" s="18">
        <f>IFERROR(Tabla1[[#This Row],[PVF]]-Tabla1[[#This Row],[PRECIO U.]],"")</f>
        <v>4.3719999999999999</v>
      </c>
    </row>
    <row r="167" spans="2:14" x14ac:dyDescent="0.25">
      <c r="B167" t="s">
        <v>165</v>
      </c>
      <c r="C167" s="1" t="s">
        <v>34</v>
      </c>
      <c r="D167" t="s">
        <v>136</v>
      </c>
      <c r="E167" s="15" t="s">
        <v>208</v>
      </c>
      <c r="F167" s="13">
        <v>1.58</v>
      </c>
      <c r="G167" s="14">
        <v>1</v>
      </c>
      <c r="H167" s="1">
        <f t="shared" si="5"/>
        <v>1.8959999999999999</v>
      </c>
      <c r="I167" s="16">
        <v>4</v>
      </c>
      <c r="J167" s="2">
        <f>Tabla1[[#This Row],[PVF]]*Tabla1[[#This Row],[UNIDADES]]</f>
        <v>4</v>
      </c>
      <c r="K167" s="9">
        <v>0.25</v>
      </c>
      <c r="L167" s="10">
        <f>Tabla1[[#This Row],[EMP.]]+Tabla1[[#This Row],[PVF]]</f>
        <v>4.25</v>
      </c>
      <c r="M167" s="17">
        <f>IFERROR((Tabla1[[#This Row],[PVF]]-Tabla1[[#This Row],[PRECIO U.]])/Tabla1[[#This Row],[PRECIO U.]],"")</f>
        <v>1.109704641350211</v>
      </c>
      <c r="N167" s="18">
        <f>IFERROR(Tabla1[[#This Row],[PVF]]-Tabla1[[#This Row],[PRECIO U.]],"")</f>
        <v>2.1040000000000001</v>
      </c>
    </row>
    <row r="168" spans="2:14" x14ac:dyDescent="0.25">
      <c r="B168" t="s">
        <v>165</v>
      </c>
      <c r="C168" s="1" t="s">
        <v>35</v>
      </c>
      <c r="D168" t="s">
        <v>28</v>
      </c>
      <c r="E168" s="15" t="s">
        <v>209</v>
      </c>
      <c r="F168" s="13">
        <v>4.68</v>
      </c>
      <c r="G168" s="14">
        <v>1</v>
      </c>
      <c r="H168" s="1">
        <f t="shared" si="5"/>
        <v>5.6159999999999997</v>
      </c>
      <c r="I168" s="16">
        <v>8</v>
      </c>
      <c r="J168" s="2">
        <f>Tabla1[[#This Row],[PVF]]*Tabla1[[#This Row],[UNIDADES]]</f>
        <v>8</v>
      </c>
      <c r="K168" s="9"/>
      <c r="L168" s="10">
        <f>Tabla1[[#This Row],[EMP.]]+Tabla1[[#This Row],[PVF]]</f>
        <v>8</v>
      </c>
      <c r="M168" s="17">
        <f>IFERROR((Tabla1[[#This Row],[PVF]]-Tabla1[[#This Row],[PRECIO U.]])/Tabla1[[#This Row],[PRECIO U.]],"")</f>
        <v>0.42450142450142458</v>
      </c>
      <c r="N168" s="18">
        <f>IFERROR(Tabla1[[#This Row],[PVF]]-Tabla1[[#This Row],[PRECIO U.]],"")</f>
        <v>2.3840000000000003</v>
      </c>
    </row>
    <row r="169" spans="2:14" x14ac:dyDescent="0.25">
      <c r="B169" t="s">
        <v>165</v>
      </c>
      <c r="C169" s="1" t="s">
        <v>35</v>
      </c>
      <c r="D169" t="s">
        <v>28</v>
      </c>
      <c r="E169" s="15" t="s">
        <v>210</v>
      </c>
      <c r="F169" s="13">
        <v>6.58</v>
      </c>
      <c r="G169" s="14">
        <v>1</v>
      </c>
      <c r="H169" s="1">
        <f t="shared" si="5"/>
        <v>7.8959999999999999</v>
      </c>
      <c r="I169" s="16">
        <v>11</v>
      </c>
      <c r="J169" s="2">
        <f>Tabla1[[#This Row],[PVF]]*Tabla1[[#This Row],[UNIDADES]]</f>
        <v>11</v>
      </c>
      <c r="K169" s="9"/>
      <c r="L169" s="10">
        <f>Tabla1[[#This Row],[EMP.]]+Tabla1[[#This Row],[PVF]]</f>
        <v>11</v>
      </c>
      <c r="M169" s="17">
        <f>IFERROR((Tabla1[[#This Row],[PVF]]-Tabla1[[#This Row],[PRECIO U.]])/Tabla1[[#This Row],[PRECIO U.]],"")</f>
        <v>0.39311043566362719</v>
      </c>
      <c r="N169" s="18">
        <f>IFERROR(Tabla1[[#This Row],[PVF]]-Tabla1[[#This Row],[PRECIO U.]],"")</f>
        <v>3.1040000000000001</v>
      </c>
    </row>
    <row r="170" spans="2:14" x14ac:dyDescent="0.25">
      <c r="B170" t="s">
        <v>165</v>
      </c>
      <c r="C170" s="1" t="s">
        <v>35</v>
      </c>
      <c r="D170" t="s">
        <v>28</v>
      </c>
      <c r="E170" s="15" t="s">
        <v>150</v>
      </c>
      <c r="F170" s="13">
        <v>8.84</v>
      </c>
      <c r="G170" s="14">
        <v>1</v>
      </c>
      <c r="H170" s="1">
        <f t="shared" si="5"/>
        <v>10.607999999999999</v>
      </c>
      <c r="I170" s="16">
        <v>14</v>
      </c>
      <c r="J170" s="2">
        <f>Tabla1[[#This Row],[PVF]]*Tabla1[[#This Row],[UNIDADES]]</f>
        <v>14</v>
      </c>
      <c r="K170" s="9"/>
      <c r="L170" s="10">
        <f>Tabla1[[#This Row],[EMP.]]+Tabla1[[#This Row],[PVF]]</f>
        <v>14</v>
      </c>
      <c r="M170" s="17">
        <f>IFERROR((Tabla1[[#This Row],[PVF]]-Tabla1[[#This Row],[PRECIO U.]])/Tabla1[[#This Row],[PRECIO U.]],"")</f>
        <v>0.31975867269984931</v>
      </c>
      <c r="N170" s="18">
        <f>IFERROR(Tabla1[[#This Row],[PVF]]-Tabla1[[#This Row],[PRECIO U.]],"")</f>
        <v>3.3920000000000012</v>
      </c>
    </row>
    <row r="171" spans="2:14" x14ac:dyDescent="0.25">
      <c r="B171" t="s">
        <v>165</v>
      </c>
      <c r="C171" s="1" t="s">
        <v>35</v>
      </c>
      <c r="D171" t="s">
        <v>28</v>
      </c>
      <c r="E171" s="15" t="s">
        <v>214</v>
      </c>
      <c r="F171" s="13">
        <v>7.66</v>
      </c>
      <c r="G171" s="14">
        <v>1</v>
      </c>
      <c r="H171" s="1">
        <f t="shared" si="5"/>
        <v>9.1920000000000002</v>
      </c>
      <c r="I171" s="16">
        <v>12</v>
      </c>
      <c r="J171" s="2">
        <f>Tabla1[[#This Row],[PVF]]*Tabla1[[#This Row],[UNIDADES]]</f>
        <v>12</v>
      </c>
      <c r="K171" s="9"/>
      <c r="L171" s="10">
        <f>Tabla1[[#This Row],[EMP.]]+Tabla1[[#This Row],[PVF]]</f>
        <v>12</v>
      </c>
      <c r="M171" s="17">
        <f>IFERROR((Tabla1[[#This Row],[PVF]]-Tabla1[[#This Row],[PRECIO U.]])/Tabla1[[#This Row],[PRECIO U.]],"")</f>
        <v>0.3054830287206266</v>
      </c>
      <c r="N171" s="18">
        <f>IFERROR(Tabla1[[#This Row],[PVF]]-Tabla1[[#This Row],[PRECIO U.]],"")</f>
        <v>2.8079999999999998</v>
      </c>
    </row>
    <row r="172" spans="2:14" x14ac:dyDescent="0.25">
      <c r="B172" t="s">
        <v>165</v>
      </c>
      <c r="C172" s="1" t="s">
        <v>35</v>
      </c>
      <c r="D172" t="s">
        <v>28</v>
      </c>
      <c r="E172" s="15" t="s">
        <v>215</v>
      </c>
      <c r="F172" s="13">
        <v>7.1</v>
      </c>
      <c r="G172" s="14">
        <v>1</v>
      </c>
      <c r="H172" s="1">
        <f t="shared" si="5"/>
        <v>8.52</v>
      </c>
      <c r="I172" s="16">
        <v>12</v>
      </c>
      <c r="J172" s="2">
        <f>Tabla1[[#This Row],[PVF]]*Tabla1[[#This Row],[UNIDADES]]</f>
        <v>12</v>
      </c>
      <c r="K172" s="9"/>
      <c r="L172" s="10">
        <f>Tabla1[[#This Row],[EMP.]]+Tabla1[[#This Row],[PVF]]</f>
        <v>12</v>
      </c>
      <c r="M172" s="17">
        <f>IFERROR((Tabla1[[#This Row],[PVF]]-Tabla1[[#This Row],[PRECIO U.]])/Tabla1[[#This Row],[PRECIO U.]],"")</f>
        <v>0.40845070422535218</v>
      </c>
      <c r="N172" s="18">
        <f>IFERROR(Tabla1[[#This Row],[PVF]]-Tabla1[[#This Row],[PRECIO U.]],"")</f>
        <v>3.4800000000000004</v>
      </c>
    </row>
    <row r="173" spans="2:14" x14ac:dyDescent="0.25">
      <c r="B173" t="s">
        <v>165</v>
      </c>
      <c r="C173" s="1" t="s">
        <v>35</v>
      </c>
      <c r="D173" t="s">
        <v>28</v>
      </c>
      <c r="E173" s="15" t="s">
        <v>216</v>
      </c>
      <c r="F173" s="13">
        <v>22.6</v>
      </c>
      <c r="G173" s="14">
        <v>1</v>
      </c>
      <c r="H173" s="1">
        <f t="shared" si="5"/>
        <v>27.12</v>
      </c>
      <c r="I173" s="16">
        <v>14</v>
      </c>
      <c r="J173" s="2">
        <f>Tabla1[[#This Row],[PVF]]*Tabla1[[#This Row],[UNIDADES]]</f>
        <v>14</v>
      </c>
      <c r="K173" s="9"/>
      <c r="L173" s="10">
        <f>Tabla1[[#This Row],[EMP.]]+Tabla1[[#This Row],[PVF]]</f>
        <v>14</v>
      </c>
      <c r="M173" s="17">
        <f>IFERROR((Tabla1[[#This Row],[PVF]]-Tabla1[[#This Row],[PRECIO U.]])/Tabla1[[#This Row],[PRECIO U.]],"")</f>
        <v>-0.48377581120943952</v>
      </c>
      <c r="N173" s="18">
        <f>IFERROR(Tabla1[[#This Row],[PVF]]-Tabla1[[#This Row],[PRECIO U.]],"")</f>
        <v>-13.120000000000001</v>
      </c>
    </row>
    <row r="174" spans="2:14" x14ac:dyDescent="0.25">
      <c r="B174" t="s">
        <v>165</v>
      </c>
      <c r="C174" s="1" t="s">
        <v>64</v>
      </c>
      <c r="D174" t="s">
        <v>159</v>
      </c>
      <c r="E174" s="15" t="s">
        <v>158</v>
      </c>
      <c r="F174" s="13">
        <v>9.66</v>
      </c>
      <c r="G174" s="14">
        <v>36</v>
      </c>
      <c r="H174" s="1">
        <f t="shared" si="5"/>
        <v>0.32199999999999995</v>
      </c>
      <c r="I174" s="16">
        <v>0.6</v>
      </c>
      <c r="J174" s="2">
        <f>Tabla1[[#This Row],[PVF]]*Tabla1[[#This Row],[UNIDADES]]</f>
        <v>21.599999999999998</v>
      </c>
      <c r="K174" s="9"/>
      <c r="L174" s="10">
        <f>Tabla1[[#This Row],[EMP.]]+Tabla1[[#This Row],[PVF]]</f>
        <v>0.6</v>
      </c>
      <c r="M174" s="17">
        <f>IFERROR((Tabla1[[#This Row],[PVF]]-Tabla1[[#This Row],[PRECIO U.]])/Tabla1[[#This Row],[PRECIO U.]],"")</f>
        <v>0.86335403726708093</v>
      </c>
      <c r="N174" s="18">
        <f>IFERROR(Tabla1[[#This Row],[PVF]]-Tabla1[[#This Row],[PRECIO U.]],"")</f>
        <v>0.27800000000000002</v>
      </c>
    </row>
    <row r="175" spans="2:14" x14ac:dyDescent="0.25">
      <c r="B175" t="s">
        <v>165</v>
      </c>
      <c r="C175" s="1" t="s">
        <v>35</v>
      </c>
      <c r="D175" t="s">
        <v>51</v>
      </c>
      <c r="E175" s="15" t="s">
        <v>217</v>
      </c>
      <c r="F175" s="13">
        <v>1.33</v>
      </c>
      <c r="G175" s="14">
        <v>3</v>
      </c>
      <c r="H175" s="1">
        <f t="shared" si="5"/>
        <v>0.53200000000000003</v>
      </c>
      <c r="I175" s="16">
        <v>1</v>
      </c>
      <c r="J175" s="2">
        <f>Tabla1[[#This Row],[PVF]]*Tabla1[[#This Row],[UNIDADES]]</f>
        <v>3</v>
      </c>
      <c r="K175" s="9"/>
      <c r="L175" s="10">
        <f>Tabla1[[#This Row],[EMP.]]+Tabla1[[#This Row],[PVF]]</f>
        <v>1</v>
      </c>
      <c r="M175" s="17">
        <f>IFERROR((Tabla1[[#This Row],[PVF]]-Tabla1[[#This Row],[PRECIO U.]])/Tabla1[[#This Row],[PRECIO U.]],"")</f>
        <v>0.87969924812030065</v>
      </c>
      <c r="N175" s="18">
        <f>IFERROR(Tabla1[[#This Row],[PVF]]-Tabla1[[#This Row],[PRECIO U.]],"")</f>
        <v>0.46799999999999997</v>
      </c>
    </row>
    <row r="176" spans="2:14" x14ac:dyDescent="0.25">
      <c r="B176" t="s">
        <v>165</v>
      </c>
      <c r="C176" s="1" t="s">
        <v>35</v>
      </c>
      <c r="D176" t="s">
        <v>139</v>
      </c>
      <c r="E176" s="15" t="s">
        <v>140</v>
      </c>
      <c r="F176" s="13">
        <v>2.68</v>
      </c>
      <c r="G176" s="14">
        <v>1</v>
      </c>
      <c r="H176" s="1">
        <f t="shared" si="5"/>
        <v>3.2160000000000002</v>
      </c>
      <c r="I176" s="16">
        <v>5</v>
      </c>
      <c r="J176" s="2">
        <f>Tabla1[[#This Row],[PVF]]*Tabla1[[#This Row],[UNIDADES]]</f>
        <v>5</v>
      </c>
      <c r="K176" s="9"/>
      <c r="L176" s="10">
        <f>Tabla1[[#This Row],[EMP.]]+Tabla1[[#This Row],[PVF]]</f>
        <v>5</v>
      </c>
      <c r="M176" s="17">
        <f>IFERROR((Tabla1[[#This Row],[PVF]]-Tabla1[[#This Row],[PRECIO U.]])/Tabla1[[#This Row],[PRECIO U.]],"")</f>
        <v>0.55472636815920384</v>
      </c>
      <c r="N176" s="18">
        <f>IFERROR(Tabla1[[#This Row],[PVF]]-Tabla1[[#This Row],[PRECIO U.]],"")</f>
        <v>1.7839999999999998</v>
      </c>
    </row>
    <row r="177" spans="2:14" x14ac:dyDescent="0.25">
      <c r="B177" t="s">
        <v>165</v>
      </c>
      <c r="C177" s="1" t="s">
        <v>35</v>
      </c>
      <c r="D177" t="s">
        <v>121</v>
      </c>
      <c r="E177" s="15" t="s">
        <v>124</v>
      </c>
      <c r="F177" s="13">
        <v>5.2</v>
      </c>
      <c r="G177" s="14">
        <v>1</v>
      </c>
      <c r="H177" s="1">
        <f t="shared" si="5"/>
        <v>6.24</v>
      </c>
      <c r="I177" s="16">
        <v>10</v>
      </c>
      <c r="J177" s="2">
        <f>Tabla1[[#This Row],[PVF]]*Tabla1[[#This Row],[UNIDADES]]</f>
        <v>10</v>
      </c>
      <c r="K177" s="9"/>
      <c r="L177" s="10">
        <f>Tabla1[[#This Row],[EMP.]]+Tabla1[[#This Row],[PVF]]</f>
        <v>10</v>
      </c>
      <c r="M177" s="17">
        <f>IFERROR((Tabla1[[#This Row],[PVF]]-Tabla1[[#This Row],[PRECIO U.]])/Tabla1[[#This Row],[PRECIO U.]],"")</f>
        <v>0.60256410256410253</v>
      </c>
      <c r="N177" s="18">
        <f>IFERROR(Tabla1[[#This Row],[PVF]]-Tabla1[[#This Row],[PRECIO U.]],"")</f>
        <v>3.76</v>
      </c>
    </row>
    <row r="178" spans="2:14" x14ac:dyDescent="0.25">
      <c r="B178" t="s">
        <v>165</v>
      </c>
      <c r="C178" s="1" t="s">
        <v>34</v>
      </c>
      <c r="D178" t="s">
        <v>136</v>
      </c>
      <c r="E178" s="15" t="s">
        <v>218</v>
      </c>
      <c r="F178" s="13">
        <v>2.65</v>
      </c>
      <c r="G178" s="14">
        <v>1</v>
      </c>
      <c r="H178" s="1">
        <f t="shared" si="5"/>
        <v>3.1799999999999997</v>
      </c>
      <c r="I178" s="16">
        <v>6</v>
      </c>
      <c r="J178" s="2">
        <f>Tabla1[[#This Row],[PVF]]*Tabla1[[#This Row],[UNIDADES]]</f>
        <v>6</v>
      </c>
      <c r="K178" s="9"/>
      <c r="L178" s="10">
        <f>Tabla1[[#This Row],[EMP.]]+Tabla1[[#This Row],[PVF]]</f>
        <v>6</v>
      </c>
      <c r="M178" s="17">
        <f>IFERROR((Tabla1[[#This Row],[PVF]]-Tabla1[[#This Row],[PRECIO U.]])/Tabla1[[#This Row],[PRECIO U.]],"")</f>
        <v>0.88679245283018882</v>
      </c>
      <c r="N178" s="18">
        <f>IFERROR(Tabla1[[#This Row],[PVF]]-Tabla1[[#This Row],[PRECIO U.]],"")</f>
        <v>2.8200000000000003</v>
      </c>
    </row>
    <row r="179" spans="2:14" x14ac:dyDescent="0.25">
      <c r="B179" t="s">
        <v>165</v>
      </c>
      <c r="C179" s="1" t="s">
        <v>34</v>
      </c>
      <c r="D179" t="s">
        <v>225</v>
      </c>
      <c r="E179" s="15" t="s">
        <v>219</v>
      </c>
      <c r="F179" s="13">
        <v>1.78</v>
      </c>
      <c r="G179" s="14">
        <v>1</v>
      </c>
      <c r="H179" s="1">
        <f t="shared" si="5"/>
        <v>2.1360000000000001</v>
      </c>
      <c r="I179" s="16">
        <v>5</v>
      </c>
      <c r="J179" s="2">
        <f>Tabla1[[#This Row],[PVF]]*Tabla1[[#This Row],[UNIDADES]]</f>
        <v>5</v>
      </c>
      <c r="K179" s="9"/>
      <c r="L179" s="10">
        <f>Tabla1[[#This Row],[EMP.]]+Tabla1[[#This Row],[PVF]]</f>
        <v>5</v>
      </c>
      <c r="M179" s="17">
        <f>IFERROR((Tabla1[[#This Row],[PVF]]-Tabla1[[#This Row],[PRECIO U.]])/Tabla1[[#This Row],[PRECIO U.]],"")</f>
        <v>1.3408239700374531</v>
      </c>
      <c r="N179" s="18">
        <f>IFERROR(Tabla1[[#This Row],[PVF]]-Tabla1[[#This Row],[PRECIO U.]],"")</f>
        <v>2.8639999999999999</v>
      </c>
    </row>
    <row r="180" spans="2:14" x14ac:dyDescent="0.25">
      <c r="B180" t="s">
        <v>165</v>
      </c>
      <c r="C180" s="1" t="s">
        <v>34</v>
      </c>
      <c r="D180" t="s">
        <v>39</v>
      </c>
      <c r="E180" s="15" t="s">
        <v>220</v>
      </c>
      <c r="F180" s="13">
        <v>1.1100000000000001</v>
      </c>
      <c r="G180" s="14">
        <v>1</v>
      </c>
      <c r="H180" s="1">
        <f t="shared" si="5"/>
        <v>1.3320000000000001</v>
      </c>
      <c r="I180" s="16">
        <v>3</v>
      </c>
      <c r="J180" s="2">
        <f>Tabla1[[#This Row],[PVF]]*Tabla1[[#This Row],[UNIDADES]]</f>
        <v>3</v>
      </c>
      <c r="K180" s="9">
        <v>0.5</v>
      </c>
      <c r="L180" s="10">
        <f>Tabla1[[#This Row],[EMP.]]+Tabla1[[#This Row],[PVF]]</f>
        <v>3.5</v>
      </c>
      <c r="M180" s="17">
        <f>IFERROR((Tabla1[[#This Row],[PVF]]-Tabla1[[#This Row],[PRECIO U.]])/Tabla1[[#This Row],[PRECIO U.]],"")</f>
        <v>1.2522522522522521</v>
      </c>
      <c r="N180" s="18">
        <f>IFERROR(Tabla1[[#This Row],[PVF]]-Tabla1[[#This Row],[PRECIO U.]],"")</f>
        <v>1.6679999999999999</v>
      </c>
    </row>
    <row r="181" spans="2:14" x14ac:dyDescent="0.25">
      <c r="B181" t="s">
        <v>165</v>
      </c>
      <c r="C181" s="1" t="s">
        <v>34</v>
      </c>
      <c r="D181" t="s">
        <v>39</v>
      </c>
      <c r="E181" s="15" t="s">
        <v>221</v>
      </c>
      <c r="F181" s="13">
        <v>1.35</v>
      </c>
      <c r="G181" s="14">
        <v>1</v>
      </c>
      <c r="H181" s="1">
        <f t="shared" si="5"/>
        <v>1.62</v>
      </c>
      <c r="I181" s="16">
        <v>3</v>
      </c>
      <c r="J181" s="2">
        <f>Tabla1[[#This Row],[PVF]]*Tabla1[[#This Row],[UNIDADES]]</f>
        <v>3</v>
      </c>
      <c r="K181" s="9">
        <v>0.5</v>
      </c>
      <c r="L181" s="10">
        <f>Tabla1[[#This Row],[EMP.]]+Tabla1[[#This Row],[PVF]]</f>
        <v>3.5</v>
      </c>
      <c r="M181" s="17">
        <f>IFERROR((Tabla1[[#This Row],[PVF]]-Tabla1[[#This Row],[PRECIO U.]])/Tabla1[[#This Row],[PRECIO U.]],"")</f>
        <v>0.85185185185185175</v>
      </c>
      <c r="N181" s="18">
        <f>IFERROR(Tabla1[[#This Row],[PVF]]-Tabla1[[#This Row],[PRECIO U.]],"")</f>
        <v>1.38</v>
      </c>
    </row>
    <row r="182" spans="2:14" x14ac:dyDescent="0.25">
      <c r="B182" t="s">
        <v>165</v>
      </c>
      <c r="C182" s="1" t="s">
        <v>34</v>
      </c>
      <c r="D182" t="s">
        <v>39</v>
      </c>
      <c r="E182" s="15" t="s">
        <v>222</v>
      </c>
      <c r="F182" s="13">
        <v>1.18</v>
      </c>
      <c r="G182" s="14">
        <v>1</v>
      </c>
      <c r="H182" s="1">
        <f t="shared" si="5"/>
        <v>1.4159999999999999</v>
      </c>
      <c r="I182" s="16">
        <v>3</v>
      </c>
      <c r="J182" s="2">
        <f>Tabla1[[#This Row],[PVF]]*Tabla1[[#This Row],[UNIDADES]]</f>
        <v>3</v>
      </c>
      <c r="K182" s="9">
        <v>0.5</v>
      </c>
      <c r="L182" s="10">
        <f>Tabla1[[#This Row],[EMP.]]+Tabla1[[#This Row],[PVF]]</f>
        <v>3.5</v>
      </c>
      <c r="M182" s="17">
        <f>IFERROR((Tabla1[[#This Row],[PVF]]-Tabla1[[#This Row],[PRECIO U.]])/Tabla1[[#This Row],[PRECIO U.]],"")</f>
        <v>1.1186440677966103</v>
      </c>
      <c r="N182" s="18">
        <f>IFERROR(Tabla1[[#This Row],[PVF]]-Tabla1[[#This Row],[PRECIO U.]],"")</f>
        <v>1.5840000000000001</v>
      </c>
    </row>
    <row r="183" spans="2:14" x14ac:dyDescent="0.25">
      <c r="B183" t="s">
        <v>165</v>
      </c>
      <c r="C183" s="1" t="s">
        <v>34</v>
      </c>
      <c r="D183" t="s">
        <v>25</v>
      </c>
      <c r="E183" s="15" t="s">
        <v>223</v>
      </c>
      <c r="F183" s="13">
        <v>1.22</v>
      </c>
      <c r="G183" s="14">
        <v>1</v>
      </c>
      <c r="H183" s="1">
        <f t="shared" si="5"/>
        <v>1.464</v>
      </c>
      <c r="I183" s="16">
        <v>2.5</v>
      </c>
      <c r="J183" s="2">
        <f>Tabla1[[#This Row],[PVF]]*Tabla1[[#This Row],[UNIDADES]]</f>
        <v>2.5</v>
      </c>
      <c r="K183" s="9"/>
      <c r="L183" s="10">
        <f>Tabla1[[#This Row],[EMP.]]+Tabla1[[#This Row],[PVF]]</f>
        <v>2.5</v>
      </c>
      <c r="M183" s="17">
        <f>IFERROR((Tabla1[[#This Row],[PVF]]-Tabla1[[#This Row],[PRECIO U.]])/Tabla1[[#This Row],[PRECIO U.]],"")</f>
        <v>0.70765027322404372</v>
      </c>
      <c r="N183" s="18">
        <f>IFERROR(Tabla1[[#This Row],[PVF]]-Tabla1[[#This Row],[PRECIO U.]],"")</f>
        <v>1.036</v>
      </c>
    </row>
    <row r="184" spans="2:14" x14ac:dyDescent="0.25">
      <c r="B184" t="s">
        <v>165</v>
      </c>
      <c r="C184" s="1" t="s">
        <v>34</v>
      </c>
      <c r="D184" t="s">
        <v>39</v>
      </c>
      <c r="E184" s="15" t="s">
        <v>226</v>
      </c>
      <c r="F184" s="13">
        <v>1.31</v>
      </c>
      <c r="G184" s="14">
        <v>1</v>
      </c>
      <c r="H184" s="1">
        <f t="shared" si="5"/>
        <v>1.5720000000000001</v>
      </c>
      <c r="I184" s="16">
        <v>3</v>
      </c>
      <c r="J184" s="2">
        <f>Tabla1[[#This Row],[PVF]]*Tabla1[[#This Row],[UNIDADES]]</f>
        <v>3</v>
      </c>
      <c r="K184" s="9">
        <v>0.5</v>
      </c>
      <c r="L184" s="10">
        <f>Tabla1[[#This Row],[EMP.]]+Tabla1[[#This Row],[PVF]]</f>
        <v>3.5</v>
      </c>
      <c r="M184" s="17">
        <f>IFERROR((Tabla1[[#This Row],[PVF]]-Tabla1[[#This Row],[PRECIO U.]])/Tabla1[[#This Row],[PRECIO U.]],"")</f>
        <v>0.90839694656488545</v>
      </c>
      <c r="N184" s="18">
        <f>IFERROR(Tabla1[[#This Row],[PVF]]-Tabla1[[#This Row],[PRECIO U.]],"")</f>
        <v>1.4279999999999999</v>
      </c>
    </row>
    <row r="185" spans="2:14" x14ac:dyDescent="0.25">
      <c r="B185" t="s">
        <v>165</v>
      </c>
      <c r="C185" s="1" t="s">
        <v>34</v>
      </c>
      <c r="D185" t="s">
        <v>39</v>
      </c>
      <c r="E185" s="15" t="s">
        <v>224</v>
      </c>
      <c r="F185" s="13">
        <v>6.37</v>
      </c>
      <c r="G185" s="14">
        <v>20</v>
      </c>
      <c r="H185" s="1">
        <f t="shared" si="5"/>
        <v>0.38219999999999998</v>
      </c>
      <c r="I185" s="16">
        <v>1</v>
      </c>
      <c r="J185" s="2">
        <f>Tabla1[[#This Row],[PVF]]*Tabla1[[#This Row],[UNIDADES]]</f>
        <v>20</v>
      </c>
      <c r="K185" s="9">
        <v>0.5</v>
      </c>
      <c r="L185" s="10">
        <f>Tabla1[[#This Row],[EMP.]]+Tabla1[[#This Row],[PVF]]</f>
        <v>1.5</v>
      </c>
      <c r="M185" s="17">
        <f>IFERROR((Tabla1[[#This Row],[PVF]]-Tabla1[[#This Row],[PRECIO U.]])/Tabla1[[#This Row],[PRECIO U.]],"")</f>
        <v>1.6164311878597595</v>
      </c>
      <c r="N185" s="18">
        <f>IFERROR(Tabla1[[#This Row],[PVF]]-Tabla1[[#This Row],[PRECIO U.]],"")</f>
        <v>0.61780000000000002</v>
      </c>
    </row>
    <row r="186" spans="2:14" x14ac:dyDescent="0.25">
      <c r="B186" t="s">
        <v>227</v>
      </c>
      <c r="C186" s="1" t="s">
        <v>34</v>
      </c>
      <c r="D186" t="s">
        <v>136</v>
      </c>
      <c r="E186" s="15" t="s">
        <v>228</v>
      </c>
      <c r="F186" s="13">
        <v>1.66</v>
      </c>
      <c r="G186" s="14">
        <v>1</v>
      </c>
      <c r="H186" s="1">
        <f t="shared" si="5"/>
        <v>1.9919999999999998</v>
      </c>
      <c r="I186" s="16">
        <v>3.25</v>
      </c>
      <c r="J186" s="2">
        <f>Tabla1[[#This Row],[PVF]]*Tabla1[[#This Row],[UNIDADES]]</f>
        <v>3.25</v>
      </c>
      <c r="K186" s="9">
        <v>0</v>
      </c>
      <c r="L186" s="10">
        <f>Tabla1[[#This Row],[EMP.]]+Tabla1[[#This Row],[PVF]]</f>
        <v>3.25</v>
      </c>
      <c r="M186" s="17">
        <f>IFERROR((Tabla1[[#This Row],[PVF]]-Tabla1[[#This Row],[PRECIO U.]])/Tabla1[[#This Row],[PRECIO U.]],"")</f>
        <v>0.63152610441767087</v>
      </c>
      <c r="N186" s="18">
        <f>IFERROR(Tabla1[[#This Row],[PVF]]-Tabla1[[#This Row],[PRECIO U.]],"")</f>
        <v>1.2580000000000002</v>
      </c>
    </row>
    <row r="187" spans="2:14" x14ac:dyDescent="0.25">
      <c r="B187" t="s">
        <v>227</v>
      </c>
      <c r="C187" s="1" t="s">
        <v>34</v>
      </c>
      <c r="D187" t="s">
        <v>26</v>
      </c>
      <c r="E187" s="15" t="s">
        <v>193</v>
      </c>
      <c r="F187" s="13">
        <v>2.79</v>
      </c>
      <c r="G187" s="14">
        <v>1</v>
      </c>
      <c r="H187" s="1">
        <f t="shared" si="5"/>
        <v>3.3479999999999999</v>
      </c>
      <c r="I187" s="16">
        <v>6</v>
      </c>
      <c r="J187" s="2">
        <f>Tabla1[[#This Row],[PVF]]*Tabla1[[#This Row],[UNIDADES]]</f>
        <v>6</v>
      </c>
      <c r="K187" s="9"/>
      <c r="L187" s="10">
        <f>Tabla1[[#This Row],[EMP.]]+Tabla1[[#This Row],[PVF]]</f>
        <v>6</v>
      </c>
      <c r="M187" s="17">
        <f>IFERROR((Tabla1[[#This Row],[PVF]]-Tabla1[[#This Row],[PRECIO U.]])/Tabla1[[#This Row],[PRECIO U.]],"")</f>
        <v>0.79211469534050183</v>
      </c>
      <c r="N187" s="18">
        <f>IFERROR(Tabla1[[#This Row],[PVF]]-Tabla1[[#This Row],[PRECIO U.]],"")</f>
        <v>2.6520000000000001</v>
      </c>
    </row>
    <row r="188" spans="2:14" x14ac:dyDescent="0.25">
      <c r="B188" t="s">
        <v>227</v>
      </c>
      <c r="C188" s="1" t="s">
        <v>34</v>
      </c>
      <c r="D188" t="s">
        <v>26</v>
      </c>
      <c r="E188" s="15" t="s">
        <v>229</v>
      </c>
      <c r="F188" s="13">
        <v>0.85</v>
      </c>
      <c r="G188" s="14">
        <v>1</v>
      </c>
      <c r="H188" s="1">
        <f t="shared" ref="H188:H207" si="6">IFERROR(F188/G188*1.2,"")</f>
        <v>1.02</v>
      </c>
      <c r="I188" s="16">
        <v>3</v>
      </c>
      <c r="J188" s="2">
        <f>Tabla1[[#This Row],[PVF]]*Tabla1[[#This Row],[UNIDADES]]</f>
        <v>3</v>
      </c>
      <c r="K188" s="9"/>
      <c r="L188" s="10">
        <f>Tabla1[[#This Row],[EMP.]]+Tabla1[[#This Row],[PVF]]</f>
        <v>3</v>
      </c>
      <c r="M188" s="17">
        <f>IFERROR((Tabla1[[#This Row],[PVF]]-Tabla1[[#This Row],[PRECIO U.]])/Tabla1[[#This Row],[PRECIO U.]],"")</f>
        <v>1.9411764705882353</v>
      </c>
      <c r="N188" s="18">
        <f>IFERROR(Tabla1[[#This Row],[PVF]]-Tabla1[[#This Row],[PRECIO U.]],"")</f>
        <v>1.98</v>
      </c>
    </row>
    <row r="189" spans="2:14" x14ac:dyDescent="0.25">
      <c r="B189" t="s">
        <v>227</v>
      </c>
      <c r="C189" s="1" t="s">
        <v>35</v>
      </c>
      <c r="D189" t="s">
        <v>121</v>
      </c>
      <c r="E189" s="15" t="s">
        <v>230</v>
      </c>
      <c r="F189" s="13">
        <v>4.13</v>
      </c>
      <c r="G189" s="14">
        <v>1</v>
      </c>
      <c r="H189" s="1">
        <f t="shared" si="6"/>
        <v>4.9559999999999995</v>
      </c>
      <c r="I189" s="16">
        <v>10</v>
      </c>
      <c r="J189" s="2">
        <f>Tabla1[[#This Row],[PVF]]*Tabla1[[#This Row],[UNIDADES]]</f>
        <v>10</v>
      </c>
      <c r="K189" s="9"/>
      <c r="L189" s="10">
        <f>Tabla1[[#This Row],[EMP.]]+Tabla1[[#This Row],[PVF]]</f>
        <v>10</v>
      </c>
      <c r="M189" s="17">
        <f>IFERROR((Tabla1[[#This Row],[PVF]]-Tabla1[[#This Row],[PRECIO U.]])/Tabla1[[#This Row],[PRECIO U.]],"")</f>
        <v>1.0177562550443908</v>
      </c>
      <c r="N189" s="18">
        <f>IFERROR(Tabla1[[#This Row],[PVF]]-Tabla1[[#This Row],[PRECIO U.]],"")</f>
        <v>5.0440000000000005</v>
      </c>
    </row>
    <row r="190" spans="2:14" x14ac:dyDescent="0.25">
      <c r="B190" t="s">
        <v>227</v>
      </c>
      <c r="C190" s="1" t="s">
        <v>35</v>
      </c>
      <c r="D190" t="s">
        <v>121</v>
      </c>
      <c r="E190" s="15" t="s">
        <v>231</v>
      </c>
      <c r="F190" s="13">
        <v>3.73</v>
      </c>
      <c r="G190" s="14">
        <v>1</v>
      </c>
      <c r="H190" s="1">
        <f t="shared" si="6"/>
        <v>4.476</v>
      </c>
      <c r="I190" s="16">
        <v>9</v>
      </c>
      <c r="J190" s="2">
        <f>Tabla1[[#This Row],[PVF]]*Tabla1[[#This Row],[UNIDADES]]</f>
        <v>9</v>
      </c>
      <c r="K190" s="9"/>
      <c r="L190" s="10">
        <f>Tabla1[[#This Row],[EMP.]]+Tabla1[[#This Row],[PVF]]</f>
        <v>9</v>
      </c>
      <c r="M190" s="17">
        <f>IFERROR((Tabla1[[#This Row],[PVF]]-Tabla1[[#This Row],[PRECIO U.]])/Tabla1[[#This Row],[PRECIO U.]],"")</f>
        <v>1.0107238605898123</v>
      </c>
      <c r="N190" s="18">
        <f>IFERROR(Tabla1[[#This Row],[PVF]]-Tabla1[[#This Row],[PRECIO U.]],"")</f>
        <v>4.524</v>
      </c>
    </row>
    <row r="191" spans="2:14" x14ac:dyDescent="0.25">
      <c r="B191" t="s">
        <v>227</v>
      </c>
      <c r="C191" s="1" t="s">
        <v>34</v>
      </c>
      <c r="D191" t="s">
        <v>225</v>
      </c>
      <c r="E191" s="15" t="s">
        <v>189</v>
      </c>
      <c r="F191" s="13">
        <v>3.32</v>
      </c>
      <c r="G191" s="14">
        <v>1</v>
      </c>
      <c r="H191" s="1">
        <f t="shared" si="6"/>
        <v>3.9839999999999995</v>
      </c>
      <c r="I191" s="16">
        <v>7</v>
      </c>
      <c r="J191" s="2">
        <f>Tabla1[[#This Row],[PVF]]*Tabla1[[#This Row],[UNIDADES]]</f>
        <v>7</v>
      </c>
      <c r="K191" s="9"/>
      <c r="L191" s="10">
        <f>Tabla1[[#This Row],[EMP.]]+Tabla1[[#This Row],[PVF]]</f>
        <v>7</v>
      </c>
      <c r="M191" s="17">
        <f>IFERROR((Tabla1[[#This Row],[PVF]]-Tabla1[[#This Row],[PRECIO U.]])/Tabla1[[#This Row],[PRECIO U.]],"")</f>
        <v>0.7570281124497994</v>
      </c>
      <c r="N191" s="18">
        <f>IFERROR(Tabla1[[#This Row],[PVF]]-Tabla1[[#This Row],[PRECIO U.]],"")</f>
        <v>3.0160000000000005</v>
      </c>
    </row>
    <row r="192" spans="2:14" x14ac:dyDescent="0.25">
      <c r="B192" t="s">
        <v>227</v>
      </c>
      <c r="C192" s="1" t="s">
        <v>34</v>
      </c>
      <c r="D192" t="s">
        <v>225</v>
      </c>
      <c r="E192" s="15" t="s">
        <v>232</v>
      </c>
      <c r="F192" s="13">
        <v>2.21</v>
      </c>
      <c r="G192" s="14">
        <v>1</v>
      </c>
      <c r="H192" s="1">
        <f t="shared" si="6"/>
        <v>2.6519999999999997</v>
      </c>
      <c r="I192" s="16">
        <v>5</v>
      </c>
      <c r="J192" s="2">
        <f>Tabla1[[#This Row],[PVF]]*Tabla1[[#This Row],[UNIDADES]]</f>
        <v>5</v>
      </c>
      <c r="K192" s="9"/>
      <c r="L192" s="10">
        <f>Tabla1[[#This Row],[EMP.]]+Tabla1[[#This Row],[PVF]]</f>
        <v>5</v>
      </c>
      <c r="M192" s="17">
        <f>IFERROR((Tabla1[[#This Row],[PVF]]-Tabla1[[#This Row],[PRECIO U.]])/Tabla1[[#This Row],[PRECIO U.]],"")</f>
        <v>0.88536953242835614</v>
      </c>
      <c r="N192" s="18">
        <f>IFERROR(Tabla1[[#This Row],[PVF]]-Tabla1[[#This Row],[PRECIO U.]],"")</f>
        <v>2.3480000000000003</v>
      </c>
    </row>
    <row r="193" spans="2:14" x14ac:dyDescent="0.25">
      <c r="B193" t="s">
        <v>227</v>
      </c>
      <c r="C193" s="1" t="s">
        <v>35</v>
      </c>
      <c r="D193" t="s">
        <v>241</v>
      </c>
      <c r="E193" s="15" t="s">
        <v>233</v>
      </c>
      <c r="F193" s="13">
        <v>1.46</v>
      </c>
      <c r="G193" s="14">
        <v>1</v>
      </c>
      <c r="H193" s="1">
        <f t="shared" si="6"/>
        <v>1.752</v>
      </c>
      <c r="I193" s="16">
        <v>3.5</v>
      </c>
      <c r="J193" s="2">
        <f>Tabla1[[#This Row],[PVF]]*Tabla1[[#This Row],[UNIDADES]]</f>
        <v>3.5</v>
      </c>
      <c r="K193" s="9"/>
      <c r="L193" s="10">
        <f>Tabla1[[#This Row],[EMP.]]+Tabla1[[#This Row],[PVF]]</f>
        <v>3.5</v>
      </c>
      <c r="M193" s="17">
        <f>IFERROR((Tabla1[[#This Row],[PVF]]-Tabla1[[#This Row],[PRECIO U.]])/Tabla1[[#This Row],[PRECIO U.]],"")</f>
        <v>0.99771689497716898</v>
      </c>
      <c r="N193" s="18">
        <f>IFERROR(Tabla1[[#This Row],[PVF]]-Tabla1[[#This Row],[PRECIO U.]],"")</f>
        <v>1.748</v>
      </c>
    </row>
    <row r="194" spans="2:14" x14ac:dyDescent="0.25">
      <c r="B194" t="s">
        <v>227</v>
      </c>
      <c r="C194" s="1" t="s">
        <v>118</v>
      </c>
      <c r="D194" t="s">
        <v>242</v>
      </c>
      <c r="E194" s="15" t="s">
        <v>234</v>
      </c>
      <c r="F194" s="13">
        <v>7.38</v>
      </c>
      <c r="G194" s="14">
        <v>1</v>
      </c>
      <c r="H194" s="1">
        <f t="shared" si="6"/>
        <v>8.8559999999999999</v>
      </c>
      <c r="I194" s="16">
        <v>15</v>
      </c>
      <c r="J194" s="2">
        <f>Tabla1[[#This Row],[PVF]]*Tabla1[[#This Row],[UNIDADES]]</f>
        <v>15</v>
      </c>
      <c r="K194" s="9"/>
      <c r="L194" s="10">
        <f>Tabla1[[#This Row],[EMP.]]+Tabla1[[#This Row],[PVF]]</f>
        <v>15</v>
      </c>
      <c r="M194" s="17">
        <f>IFERROR((Tabla1[[#This Row],[PVF]]-Tabla1[[#This Row],[PRECIO U.]])/Tabla1[[#This Row],[PRECIO U.]],"")</f>
        <v>0.69376693766937669</v>
      </c>
      <c r="N194" s="18">
        <f>IFERROR(Tabla1[[#This Row],[PVF]]-Tabla1[[#This Row],[PRECIO U.]],"")</f>
        <v>6.1440000000000001</v>
      </c>
    </row>
    <row r="195" spans="2:14" x14ac:dyDescent="0.25">
      <c r="B195" t="s">
        <v>227</v>
      </c>
      <c r="C195" s="1" t="s">
        <v>35</v>
      </c>
      <c r="D195" t="s">
        <v>121</v>
      </c>
      <c r="E195" s="15" t="s">
        <v>179</v>
      </c>
      <c r="F195" s="13">
        <v>2.54</v>
      </c>
      <c r="G195" s="14">
        <v>1</v>
      </c>
      <c r="H195" s="1">
        <f t="shared" si="6"/>
        <v>3.048</v>
      </c>
      <c r="I195" s="16">
        <v>9</v>
      </c>
      <c r="J195" s="2">
        <f>Tabla1[[#This Row],[PVF]]*Tabla1[[#This Row],[UNIDADES]]</f>
        <v>9</v>
      </c>
      <c r="K195" s="9"/>
      <c r="L195" s="10">
        <f>Tabla1[[#This Row],[EMP.]]+Tabla1[[#This Row],[PVF]]</f>
        <v>9</v>
      </c>
      <c r="M195" s="17">
        <f>IFERROR((Tabla1[[#This Row],[PVF]]-Tabla1[[#This Row],[PRECIO U.]])/Tabla1[[#This Row],[PRECIO U.]],"")</f>
        <v>1.9527559055118109</v>
      </c>
      <c r="N195" s="18">
        <f>IFERROR(Tabla1[[#This Row],[PVF]]-Tabla1[[#This Row],[PRECIO U.]],"")</f>
        <v>5.952</v>
      </c>
    </row>
    <row r="196" spans="2:14" x14ac:dyDescent="0.25">
      <c r="B196" t="s">
        <v>227</v>
      </c>
      <c r="C196" s="1" t="s">
        <v>35</v>
      </c>
      <c r="D196" t="s">
        <v>121</v>
      </c>
      <c r="E196" s="15" t="s">
        <v>235</v>
      </c>
      <c r="F196" s="13">
        <v>4.88</v>
      </c>
      <c r="G196" s="14">
        <v>1</v>
      </c>
      <c r="H196" s="1">
        <f t="shared" si="6"/>
        <v>5.8559999999999999</v>
      </c>
      <c r="I196" s="16">
        <v>11</v>
      </c>
      <c r="J196" s="2">
        <f>Tabla1[[#This Row],[PVF]]*Tabla1[[#This Row],[UNIDADES]]</f>
        <v>11</v>
      </c>
      <c r="K196" s="9"/>
      <c r="L196" s="10">
        <f>Tabla1[[#This Row],[EMP.]]+Tabla1[[#This Row],[PVF]]</f>
        <v>11</v>
      </c>
      <c r="M196" s="17">
        <f>IFERROR((Tabla1[[#This Row],[PVF]]-Tabla1[[#This Row],[PRECIO U.]])/Tabla1[[#This Row],[PRECIO U.]],"")</f>
        <v>0.87841530054644812</v>
      </c>
      <c r="N196" s="18">
        <f>IFERROR(Tabla1[[#This Row],[PVF]]-Tabla1[[#This Row],[PRECIO U.]],"")</f>
        <v>5.1440000000000001</v>
      </c>
    </row>
    <row r="197" spans="2:14" x14ac:dyDescent="0.25">
      <c r="B197" t="s">
        <v>227</v>
      </c>
      <c r="C197" s="1" t="s">
        <v>35</v>
      </c>
      <c r="D197" t="s">
        <v>28</v>
      </c>
      <c r="E197" s="15" t="s">
        <v>236</v>
      </c>
      <c r="F197" s="13">
        <v>4.72</v>
      </c>
      <c r="G197" s="14">
        <v>1</v>
      </c>
      <c r="H197" s="1">
        <f t="shared" si="6"/>
        <v>5.6639999999999997</v>
      </c>
      <c r="I197" s="16">
        <v>10</v>
      </c>
      <c r="J197" s="2">
        <f>Tabla1[[#This Row],[PVF]]*Tabla1[[#This Row],[UNIDADES]]</f>
        <v>10</v>
      </c>
      <c r="K197" s="9"/>
      <c r="L197" s="10">
        <f>Tabla1[[#This Row],[EMP.]]+Tabla1[[#This Row],[PVF]]</f>
        <v>10</v>
      </c>
      <c r="M197" s="17">
        <f>IFERROR((Tabla1[[#This Row],[PVF]]-Tabla1[[#This Row],[PRECIO U.]])/Tabla1[[#This Row],[PRECIO U.]],"")</f>
        <v>0.76553672316384191</v>
      </c>
      <c r="N197" s="18">
        <f>IFERROR(Tabla1[[#This Row],[PVF]]-Tabla1[[#This Row],[PRECIO U.]],"")</f>
        <v>4.3360000000000003</v>
      </c>
    </row>
    <row r="198" spans="2:14" x14ac:dyDescent="0.25">
      <c r="B198" t="s">
        <v>227</v>
      </c>
      <c r="C198" s="1" t="s">
        <v>35</v>
      </c>
      <c r="D198" t="s">
        <v>28</v>
      </c>
      <c r="E198" s="15" t="s">
        <v>237</v>
      </c>
      <c r="F198" s="13">
        <v>6.52</v>
      </c>
      <c r="G198" s="14">
        <v>1</v>
      </c>
      <c r="H198" s="1">
        <f t="shared" si="6"/>
        <v>7.823999999999999</v>
      </c>
      <c r="I198" s="16">
        <v>15</v>
      </c>
      <c r="J198" s="2">
        <f>Tabla1[[#This Row],[PVF]]*Tabla1[[#This Row],[UNIDADES]]</f>
        <v>15</v>
      </c>
      <c r="K198" s="9"/>
      <c r="L198" s="10">
        <f>Tabla1[[#This Row],[EMP.]]+Tabla1[[#This Row],[PVF]]</f>
        <v>15</v>
      </c>
      <c r="M198" s="17">
        <f>IFERROR((Tabla1[[#This Row],[PVF]]-Tabla1[[#This Row],[PRECIO U.]])/Tabla1[[#This Row],[PRECIO U.]],"")</f>
        <v>0.9171779141104297</v>
      </c>
      <c r="N198" s="18">
        <f>IFERROR(Tabla1[[#This Row],[PVF]]-Tabla1[[#This Row],[PRECIO U.]],"")</f>
        <v>7.176000000000001</v>
      </c>
    </row>
    <row r="199" spans="2:14" x14ac:dyDescent="0.25">
      <c r="B199" t="s">
        <v>227</v>
      </c>
      <c r="C199" s="1" t="s">
        <v>35</v>
      </c>
      <c r="D199" t="s">
        <v>28</v>
      </c>
      <c r="E199" s="15" t="s">
        <v>238</v>
      </c>
      <c r="F199" s="13">
        <v>8.0399999999999991</v>
      </c>
      <c r="G199" s="14">
        <v>1</v>
      </c>
      <c r="H199" s="1">
        <f t="shared" si="6"/>
        <v>9.6479999999999979</v>
      </c>
      <c r="I199" s="16">
        <v>15</v>
      </c>
      <c r="J199" s="2">
        <f>Tabla1[[#This Row],[PVF]]*Tabla1[[#This Row],[UNIDADES]]</f>
        <v>15</v>
      </c>
      <c r="K199" s="9"/>
      <c r="L199" s="10">
        <f>Tabla1[[#This Row],[EMP.]]+Tabla1[[#This Row],[PVF]]</f>
        <v>15</v>
      </c>
      <c r="M199" s="17">
        <f>IFERROR((Tabla1[[#This Row],[PVF]]-Tabla1[[#This Row],[PRECIO U.]])/Tabla1[[#This Row],[PRECIO U.]],"")</f>
        <v>0.55472636815920429</v>
      </c>
      <c r="N199" s="18">
        <f>IFERROR(Tabla1[[#This Row],[PVF]]-Tabla1[[#This Row],[PRECIO U.]],"")</f>
        <v>5.3520000000000021</v>
      </c>
    </row>
    <row r="200" spans="2:14" x14ac:dyDescent="0.25">
      <c r="B200" t="s">
        <v>227</v>
      </c>
      <c r="C200" s="1" t="s">
        <v>35</v>
      </c>
      <c r="D200" t="s">
        <v>28</v>
      </c>
      <c r="E200" s="15" t="s">
        <v>239</v>
      </c>
      <c r="F200" s="13">
        <v>6.61</v>
      </c>
      <c r="G200" s="14">
        <v>1</v>
      </c>
      <c r="H200" s="1">
        <f t="shared" si="6"/>
        <v>7.9320000000000004</v>
      </c>
      <c r="I200" s="16">
        <v>14</v>
      </c>
      <c r="J200" s="2">
        <f>Tabla1[[#This Row],[PVF]]*Tabla1[[#This Row],[UNIDADES]]</f>
        <v>14</v>
      </c>
      <c r="K200" s="9"/>
      <c r="L200" s="10">
        <f>Tabla1[[#This Row],[EMP.]]+Tabla1[[#This Row],[PVF]]</f>
        <v>14</v>
      </c>
      <c r="M200" s="17">
        <f>IFERROR((Tabla1[[#This Row],[PVF]]-Tabla1[[#This Row],[PRECIO U.]])/Tabla1[[#This Row],[PRECIO U.]],"")</f>
        <v>0.7650025214321734</v>
      </c>
      <c r="N200" s="18">
        <f>IFERROR(Tabla1[[#This Row],[PVF]]-Tabla1[[#This Row],[PRECIO U.]],"")</f>
        <v>6.0679999999999996</v>
      </c>
    </row>
    <row r="201" spans="2:14" x14ac:dyDescent="0.25">
      <c r="B201" t="s">
        <v>227</v>
      </c>
      <c r="C201" s="1" t="s">
        <v>35</v>
      </c>
      <c r="D201" t="s">
        <v>243</v>
      </c>
      <c r="E201" s="15" t="s">
        <v>240</v>
      </c>
      <c r="F201" s="13">
        <v>3.16</v>
      </c>
      <c r="G201" s="14">
        <v>1</v>
      </c>
      <c r="H201" s="1">
        <f t="shared" si="6"/>
        <v>3.7919999999999998</v>
      </c>
      <c r="I201" s="16">
        <v>7</v>
      </c>
      <c r="J201" s="2">
        <f>Tabla1[[#This Row],[PVF]]*Tabla1[[#This Row],[UNIDADES]]</f>
        <v>7</v>
      </c>
      <c r="K201" s="9"/>
      <c r="L201" s="10">
        <f>Tabla1[[#This Row],[EMP.]]+Tabla1[[#This Row],[PVF]]</f>
        <v>7</v>
      </c>
      <c r="M201" s="17">
        <f>IFERROR((Tabla1[[#This Row],[PVF]]-Tabla1[[#This Row],[PRECIO U.]])/Tabla1[[#This Row],[PRECIO U.]],"")</f>
        <v>0.8459915611814347</v>
      </c>
      <c r="N201" s="18">
        <f>IFERROR(Tabla1[[#This Row],[PVF]]-Tabla1[[#This Row],[PRECIO U.]],"")</f>
        <v>3.2080000000000002</v>
      </c>
    </row>
    <row r="202" spans="2:14" x14ac:dyDescent="0.25">
      <c r="B202" t="s">
        <v>227</v>
      </c>
      <c r="C202" s="1" t="s">
        <v>35</v>
      </c>
      <c r="D202" t="s">
        <v>264</v>
      </c>
      <c r="E202" s="15" t="s">
        <v>244</v>
      </c>
      <c r="F202" s="13">
        <v>4.55</v>
      </c>
      <c r="G202" s="14">
        <v>12</v>
      </c>
      <c r="H202" s="1">
        <f t="shared" ref="H202:H206" si="7">IFERROR(F202/G202*1.2,"")</f>
        <v>0.45499999999999996</v>
      </c>
      <c r="I202" s="16">
        <v>1.5</v>
      </c>
      <c r="J202" s="2">
        <f>Tabla1[[#This Row],[PVF]]*Tabla1[[#This Row],[UNIDADES]]</f>
        <v>18</v>
      </c>
      <c r="K202" s="9">
        <v>0.5</v>
      </c>
      <c r="L202" s="10">
        <f>Tabla1[[#This Row],[EMP.]]+Tabla1[[#This Row],[PVF]]</f>
        <v>2</v>
      </c>
      <c r="M202" s="17">
        <f>IFERROR((Tabla1[[#This Row],[PVF]]-Tabla1[[#This Row],[PRECIO U.]])/Tabla1[[#This Row],[PRECIO U.]],"")</f>
        <v>2.2967032967032965</v>
      </c>
      <c r="N202" s="18">
        <f>IFERROR(Tabla1[[#This Row],[PVF]]-Tabla1[[#This Row],[PRECIO U.]],"")</f>
        <v>1.0449999999999999</v>
      </c>
    </row>
    <row r="203" spans="2:14" x14ac:dyDescent="0.25">
      <c r="B203" t="s">
        <v>227</v>
      </c>
      <c r="C203" s="1" t="s">
        <v>35</v>
      </c>
      <c r="D203" t="s">
        <v>28</v>
      </c>
      <c r="E203" s="15" t="s">
        <v>245</v>
      </c>
      <c r="F203" s="13">
        <v>6.95</v>
      </c>
      <c r="G203" s="14">
        <v>1</v>
      </c>
      <c r="H203" s="1">
        <f t="shared" si="7"/>
        <v>8.34</v>
      </c>
      <c r="I203" s="16">
        <v>12</v>
      </c>
      <c r="J203" s="2">
        <f>Tabla1[[#This Row],[PVF]]*Tabla1[[#This Row],[UNIDADES]]</f>
        <v>12</v>
      </c>
      <c r="K203" s="9"/>
      <c r="L203" s="10">
        <f>Tabla1[[#This Row],[EMP.]]+Tabla1[[#This Row],[PVF]]</f>
        <v>12</v>
      </c>
      <c r="M203" s="17">
        <f>IFERROR((Tabla1[[#This Row],[PVF]]-Tabla1[[#This Row],[PRECIO U.]])/Tabla1[[#This Row],[PRECIO U.]],"")</f>
        <v>0.4388489208633094</v>
      </c>
      <c r="N203" s="18">
        <f>IFERROR(Tabla1[[#This Row],[PVF]]-Tabla1[[#This Row],[PRECIO U.]],"")</f>
        <v>3.66</v>
      </c>
    </row>
    <row r="204" spans="2:14" x14ac:dyDescent="0.25">
      <c r="B204" t="s">
        <v>227</v>
      </c>
      <c r="C204" s="1" t="s">
        <v>35</v>
      </c>
      <c r="D204" t="s">
        <v>28</v>
      </c>
      <c r="E204" s="15" t="s">
        <v>246</v>
      </c>
      <c r="F204" s="13">
        <v>7.05</v>
      </c>
      <c r="G204" s="14">
        <v>1</v>
      </c>
      <c r="H204" s="1">
        <f t="shared" si="7"/>
        <v>8.4599999999999991</v>
      </c>
      <c r="I204" s="16">
        <v>10</v>
      </c>
      <c r="J204" s="2">
        <f>Tabla1[[#This Row],[PVF]]*Tabla1[[#This Row],[UNIDADES]]</f>
        <v>10</v>
      </c>
      <c r="K204" s="9"/>
      <c r="L204" s="10">
        <f>Tabla1[[#This Row],[EMP.]]+Tabla1[[#This Row],[PVF]]</f>
        <v>10</v>
      </c>
      <c r="M204" s="17">
        <f>IFERROR((Tabla1[[#This Row],[PVF]]-Tabla1[[#This Row],[PRECIO U.]])/Tabla1[[#This Row],[PRECIO U.]],"")</f>
        <v>0.18203309692671407</v>
      </c>
      <c r="N204" s="18">
        <f>IFERROR(Tabla1[[#This Row],[PVF]]-Tabla1[[#This Row],[PRECIO U.]],"")</f>
        <v>1.5400000000000009</v>
      </c>
    </row>
    <row r="205" spans="2:14" x14ac:dyDescent="0.25">
      <c r="B205" t="s">
        <v>227</v>
      </c>
      <c r="C205" s="1" t="s">
        <v>34</v>
      </c>
      <c r="D205" t="s">
        <v>39</v>
      </c>
      <c r="E205" s="15" t="s">
        <v>247</v>
      </c>
      <c r="F205" s="13">
        <v>1.82</v>
      </c>
      <c r="G205" s="14">
        <v>1</v>
      </c>
      <c r="H205" s="1">
        <f t="shared" si="7"/>
        <v>2.1840000000000002</v>
      </c>
      <c r="I205" s="16">
        <v>3</v>
      </c>
      <c r="J205" s="2">
        <f>Tabla1[[#This Row],[PVF]]*Tabla1[[#This Row],[UNIDADES]]</f>
        <v>3</v>
      </c>
      <c r="K205" s="9">
        <v>0.5</v>
      </c>
      <c r="L205" s="10">
        <f>Tabla1[[#This Row],[EMP.]]+Tabla1[[#This Row],[PVF]]</f>
        <v>3.5</v>
      </c>
      <c r="M205" s="17">
        <f>IFERROR((Tabla1[[#This Row],[PVF]]-Tabla1[[#This Row],[PRECIO U.]])/Tabla1[[#This Row],[PRECIO U.]],"")</f>
        <v>0.37362637362637352</v>
      </c>
      <c r="N205" s="18">
        <f>IFERROR(Tabla1[[#This Row],[PVF]]-Tabla1[[#This Row],[PRECIO U.]],"")</f>
        <v>0.81599999999999984</v>
      </c>
    </row>
    <row r="206" spans="2:14" x14ac:dyDescent="0.25">
      <c r="B206" t="s">
        <v>227</v>
      </c>
      <c r="C206" s="1" t="s">
        <v>34</v>
      </c>
      <c r="D206" t="s">
        <v>39</v>
      </c>
      <c r="E206" s="15" t="s">
        <v>248</v>
      </c>
      <c r="F206" s="13">
        <v>0.95</v>
      </c>
      <c r="G206" s="14">
        <v>1</v>
      </c>
      <c r="H206" s="1">
        <f t="shared" si="7"/>
        <v>1.1399999999999999</v>
      </c>
      <c r="I206" s="16">
        <v>3</v>
      </c>
      <c r="J206" s="2">
        <f>Tabla1[[#This Row],[PVF]]*Tabla1[[#This Row],[UNIDADES]]</f>
        <v>3</v>
      </c>
      <c r="K206" s="9">
        <v>0.5</v>
      </c>
      <c r="L206" s="10">
        <f>Tabla1[[#This Row],[EMP.]]+Tabla1[[#This Row],[PVF]]</f>
        <v>3.5</v>
      </c>
      <c r="M206" s="17">
        <f>IFERROR((Tabla1[[#This Row],[PVF]]-Tabla1[[#This Row],[PRECIO U.]])/Tabla1[[#This Row],[PRECIO U.]],"")</f>
        <v>1.6315789473684212</v>
      </c>
      <c r="N206" s="18">
        <f>IFERROR(Tabla1[[#This Row],[PVF]]-Tabla1[[#This Row],[PRECIO U.]],"")</f>
        <v>1.86</v>
      </c>
    </row>
    <row r="207" spans="2:14" x14ac:dyDescent="0.25">
      <c r="B207" t="s">
        <v>227</v>
      </c>
      <c r="C207" s="1" t="s">
        <v>35</v>
      </c>
      <c r="D207" t="s">
        <v>121</v>
      </c>
      <c r="E207" s="15" t="s">
        <v>249</v>
      </c>
      <c r="F207" s="13">
        <v>3.65</v>
      </c>
      <c r="G207" s="14">
        <v>1</v>
      </c>
      <c r="H207" s="1">
        <f t="shared" si="6"/>
        <v>4.38</v>
      </c>
      <c r="I207" s="16">
        <v>9</v>
      </c>
      <c r="J207" s="2">
        <f>Tabla1[[#This Row],[PVF]]*Tabla1[[#This Row],[UNIDADES]]</f>
        <v>9</v>
      </c>
      <c r="K207" s="9"/>
      <c r="L207" s="10">
        <f>Tabla1[[#This Row],[EMP.]]+Tabla1[[#This Row],[PVF]]</f>
        <v>9</v>
      </c>
      <c r="M207" s="17">
        <f>IFERROR((Tabla1[[#This Row],[PVF]]-Tabla1[[#This Row],[PRECIO U.]])/Tabla1[[#This Row],[PRECIO U.]],"")</f>
        <v>1.0547945205479452</v>
      </c>
      <c r="N207" s="18">
        <f>IFERROR(Tabla1[[#This Row],[PVF]]-Tabla1[[#This Row],[PRECIO U.]],"")</f>
        <v>4.62</v>
      </c>
    </row>
    <row r="208" spans="2:14" x14ac:dyDescent="0.25">
      <c r="B208" t="s">
        <v>227</v>
      </c>
      <c r="C208" s="1" t="s">
        <v>35</v>
      </c>
      <c r="D208" t="s">
        <v>265</v>
      </c>
      <c r="E208" s="15" t="s">
        <v>250</v>
      </c>
      <c r="F208" s="13">
        <v>5.45</v>
      </c>
      <c r="G208" s="14">
        <v>1</v>
      </c>
      <c r="H208" s="1">
        <f t="shared" ref="H208:H225" si="8">IFERROR(F208/G208*1.2,"")</f>
        <v>6.54</v>
      </c>
      <c r="I208" s="16">
        <v>10</v>
      </c>
      <c r="J208" s="2">
        <f>Tabla1[[#This Row],[PVF]]*Tabla1[[#This Row],[UNIDADES]]</f>
        <v>10</v>
      </c>
      <c r="K208" s="9"/>
      <c r="L208" s="10">
        <f>Tabla1[[#This Row],[EMP.]]+Tabla1[[#This Row],[PVF]]</f>
        <v>10</v>
      </c>
      <c r="M208" s="17">
        <f>IFERROR((Tabla1[[#This Row],[PVF]]-Tabla1[[#This Row],[PRECIO U.]])/Tabla1[[#This Row],[PRECIO U.]],"")</f>
        <v>0.52905198776758411</v>
      </c>
      <c r="N208" s="18">
        <f>IFERROR(Tabla1[[#This Row],[PVF]]-Tabla1[[#This Row],[PRECIO U.]],"")</f>
        <v>3.46</v>
      </c>
    </row>
    <row r="209" spans="2:14" x14ac:dyDescent="0.25">
      <c r="B209" t="s">
        <v>227</v>
      </c>
      <c r="C209" s="1" t="s">
        <v>64</v>
      </c>
      <c r="D209" t="s">
        <v>154</v>
      </c>
      <c r="E209" s="15" t="s">
        <v>251</v>
      </c>
      <c r="F209" s="13">
        <v>1.78</v>
      </c>
      <c r="G209" s="14">
        <v>6</v>
      </c>
      <c r="H209" s="1">
        <f t="shared" si="8"/>
        <v>0.35600000000000004</v>
      </c>
      <c r="I209" s="16">
        <v>1</v>
      </c>
      <c r="J209" s="2">
        <f>Tabla1[[#This Row],[PVF]]*Tabla1[[#This Row],[UNIDADES]]</f>
        <v>6</v>
      </c>
      <c r="K209" s="9"/>
      <c r="L209" s="10">
        <f>Tabla1[[#This Row],[EMP.]]+Tabla1[[#This Row],[PVF]]</f>
        <v>1</v>
      </c>
      <c r="M209" s="17">
        <f>IFERROR((Tabla1[[#This Row],[PVF]]-Tabla1[[#This Row],[PRECIO U.]])/Tabla1[[#This Row],[PRECIO U.]],"")</f>
        <v>1.8089887640449434</v>
      </c>
      <c r="N209" s="18">
        <f>IFERROR(Tabla1[[#This Row],[PVF]]-Tabla1[[#This Row],[PRECIO U.]],"")</f>
        <v>0.64399999999999991</v>
      </c>
    </row>
    <row r="210" spans="2:14" x14ac:dyDescent="0.25">
      <c r="B210" t="s">
        <v>227</v>
      </c>
      <c r="C210" s="1" t="s">
        <v>35</v>
      </c>
      <c r="D210" t="s">
        <v>199</v>
      </c>
      <c r="E210" s="15" t="s">
        <v>252</v>
      </c>
      <c r="F210" s="13">
        <v>2.44</v>
      </c>
      <c r="G210" s="14">
        <v>1</v>
      </c>
      <c r="H210" s="1">
        <f t="shared" si="8"/>
        <v>2.9279999999999999</v>
      </c>
      <c r="I210" s="16">
        <v>5</v>
      </c>
      <c r="J210" s="2">
        <f>Tabla1[[#This Row],[PVF]]*Tabla1[[#This Row],[UNIDADES]]</f>
        <v>5</v>
      </c>
      <c r="K210" s="9"/>
      <c r="L210" s="10">
        <f>Tabla1[[#This Row],[EMP.]]+Tabla1[[#This Row],[PVF]]</f>
        <v>5</v>
      </c>
      <c r="M210" s="17">
        <f>IFERROR((Tabla1[[#This Row],[PVF]]-Tabla1[[#This Row],[PRECIO U.]])/Tabla1[[#This Row],[PRECIO U.]],"")</f>
        <v>0.70765027322404372</v>
      </c>
      <c r="N210" s="18">
        <f>IFERROR(Tabla1[[#This Row],[PVF]]-Tabla1[[#This Row],[PRECIO U.]],"")</f>
        <v>2.0720000000000001</v>
      </c>
    </row>
    <row r="211" spans="2:14" x14ac:dyDescent="0.25">
      <c r="B211" t="s">
        <v>227</v>
      </c>
      <c r="C211" s="1" t="s">
        <v>35</v>
      </c>
      <c r="D211" t="s">
        <v>265</v>
      </c>
      <c r="E211" s="15" t="s">
        <v>253</v>
      </c>
      <c r="F211" s="13">
        <v>3.21</v>
      </c>
      <c r="G211" s="14">
        <v>1</v>
      </c>
      <c r="H211" s="1">
        <f t="shared" si="8"/>
        <v>3.8519999999999999</v>
      </c>
      <c r="I211" s="16">
        <v>7</v>
      </c>
      <c r="J211" s="2">
        <f>Tabla1[[#This Row],[PVF]]*Tabla1[[#This Row],[UNIDADES]]</f>
        <v>7</v>
      </c>
      <c r="K211" s="9"/>
      <c r="L211" s="10">
        <f>Tabla1[[#This Row],[EMP.]]+Tabla1[[#This Row],[PVF]]</f>
        <v>7</v>
      </c>
      <c r="M211" s="17">
        <f>IFERROR((Tabla1[[#This Row],[PVF]]-Tabla1[[#This Row],[PRECIO U.]])/Tabla1[[#This Row],[PRECIO U.]],"")</f>
        <v>0.81723779854620981</v>
      </c>
      <c r="N211" s="18">
        <f>IFERROR(Tabla1[[#This Row],[PVF]]-Tabla1[[#This Row],[PRECIO U.]],"")</f>
        <v>3.1480000000000001</v>
      </c>
    </row>
    <row r="212" spans="2:14" x14ac:dyDescent="0.25">
      <c r="B212" t="s">
        <v>227</v>
      </c>
      <c r="C212" s="1" t="s">
        <v>35</v>
      </c>
      <c r="D212" t="s">
        <v>58</v>
      </c>
      <c r="E212" s="15" t="s">
        <v>254</v>
      </c>
      <c r="F212" s="13">
        <v>3.47</v>
      </c>
      <c r="G212" s="14">
        <v>1</v>
      </c>
      <c r="H212" s="1">
        <f t="shared" si="8"/>
        <v>4.1639999999999997</v>
      </c>
      <c r="I212" s="16">
        <v>7</v>
      </c>
      <c r="J212" s="2">
        <f>Tabla1[[#This Row],[PVF]]*Tabla1[[#This Row],[UNIDADES]]</f>
        <v>7</v>
      </c>
      <c r="K212" s="9"/>
      <c r="L212" s="10">
        <f>Tabla1[[#This Row],[EMP.]]+Tabla1[[#This Row],[PVF]]</f>
        <v>7</v>
      </c>
      <c r="M212" s="17">
        <f>IFERROR((Tabla1[[#This Row],[PVF]]-Tabla1[[#This Row],[PRECIO U.]])/Tabla1[[#This Row],[PRECIO U.]],"")</f>
        <v>0.68107588856868406</v>
      </c>
      <c r="N212" s="18">
        <f>IFERROR(Tabla1[[#This Row],[PVF]]-Tabla1[[#This Row],[PRECIO U.]],"")</f>
        <v>2.8360000000000003</v>
      </c>
    </row>
    <row r="213" spans="2:14" x14ac:dyDescent="0.25">
      <c r="B213" t="s">
        <v>227</v>
      </c>
      <c r="C213" s="1" t="s">
        <v>35</v>
      </c>
      <c r="D213" t="s">
        <v>58</v>
      </c>
      <c r="E213" s="15" t="s">
        <v>255</v>
      </c>
      <c r="F213" s="13">
        <v>3.11</v>
      </c>
      <c r="G213" s="14">
        <v>1</v>
      </c>
      <c r="H213" s="1">
        <f t="shared" si="8"/>
        <v>3.7319999999999998</v>
      </c>
      <c r="I213" s="16">
        <v>7</v>
      </c>
      <c r="J213" s="2">
        <f>Tabla1[[#This Row],[PVF]]*Tabla1[[#This Row],[UNIDADES]]</f>
        <v>7</v>
      </c>
      <c r="K213" s="9"/>
      <c r="L213" s="10">
        <f>Tabla1[[#This Row],[EMP.]]+Tabla1[[#This Row],[PVF]]</f>
        <v>7</v>
      </c>
      <c r="M213" s="17">
        <f>IFERROR((Tabla1[[#This Row],[PVF]]-Tabla1[[#This Row],[PRECIO U.]])/Tabla1[[#This Row],[PRECIO U.]],"")</f>
        <v>0.87566988210075036</v>
      </c>
      <c r="N213" s="18">
        <f>IFERROR(Tabla1[[#This Row],[PVF]]-Tabla1[[#This Row],[PRECIO U.]],"")</f>
        <v>3.2680000000000002</v>
      </c>
    </row>
    <row r="214" spans="2:14" x14ac:dyDescent="0.25">
      <c r="B214" t="s">
        <v>227</v>
      </c>
      <c r="C214" s="1" t="s">
        <v>35</v>
      </c>
      <c r="D214" t="s">
        <v>28</v>
      </c>
      <c r="E214" s="15" t="s">
        <v>256</v>
      </c>
      <c r="F214" s="13">
        <v>4.67</v>
      </c>
      <c r="G214" s="14">
        <v>1</v>
      </c>
      <c r="H214" s="1">
        <f t="shared" si="8"/>
        <v>5.6040000000000001</v>
      </c>
      <c r="I214" s="16">
        <v>10</v>
      </c>
      <c r="J214" s="2">
        <f>Tabla1[[#This Row],[PVF]]*Tabla1[[#This Row],[UNIDADES]]</f>
        <v>10</v>
      </c>
      <c r="K214" s="9"/>
      <c r="L214" s="10">
        <f>Tabla1[[#This Row],[EMP.]]+Tabla1[[#This Row],[PVF]]</f>
        <v>10</v>
      </c>
      <c r="M214" s="17">
        <f>IFERROR((Tabla1[[#This Row],[PVF]]-Tabla1[[#This Row],[PRECIO U.]])/Tabla1[[#This Row],[PRECIO U.]],"")</f>
        <v>0.78443968593861524</v>
      </c>
      <c r="N214" s="18">
        <f>IFERROR(Tabla1[[#This Row],[PVF]]-Tabla1[[#This Row],[PRECIO U.]],"")</f>
        <v>4.3959999999999999</v>
      </c>
    </row>
    <row r="215" spans="2:14" x14ac:dyDescent="0.25">
      <c r="B215" t="s">
        <v>227</v>
      </c>
      <c r="C215" s="1" t="s">
        <v>35</v>
      </c>
      <c r="D215" t="s">
        <v>28</v>
      </c>
      <c r="E215" s="15" t="s">
        <v>257</v>
      </c>
      <c r="F215" s="13">
        <v>7.21</v>
      </c>
      <c r="G215" s="14">
        <v>1</v>
      </c>
      <c r="H215" s="1">
        <f t="shared" si="8"/>
        <v>8.6519999999999992</v>
      </c>
      <c r="I215" s="16">
        <v>15</v>
      </c>
      <c r="J215" s="2">
        <f>Tabla1[[#This Row],[PVF]]*Tabla1[[#This Row],[UNIDADES]]</f>
        <v>15</v>
      </c>
      <c r="K215" s="9"/>
      <c r="L215" s="10">
        <f>Tabla1[[#This Row],[EMP.]]+Tabla1[[#This Row],[PVF]]</f>
        <v>15</v>
      </c>
      <c r="M215" s="17">
        <f>IFERROR((Tabla1[[#This Row],[PVF]]-Tabla1[[#This Row],[PRECIO U.]])/Tabla1[[#This Row],[PRECIO U.]],"")</f>
        <v>0.73370319001386974</v>
      </c>
      <c r="N215" s="18">
        <f>IFERROR(Tabla1[[#This Row],[PVF]]-Tabla1[[#This Row],[PRECIO U.]],"")</f>
        <v>6.3480000000000008</v>
      </c>
    </row>
    <row r="216" spans="2:14" x14ac:dyDescent="0.25">
      <c r="B216" t="s">
        <v>227</v>
      </c>
      <c r="C216" s="1" t="s">
        <v>35</v>
      </c>
      <c r="D216" t="s">
        <v>58</v>
      </c>
      <c r="E216" s="15" t="s">
        <v>258</v>
      </c>
      <c r="F216" s="13">
        <v>5.92</v>
      </c>
      <c r="G216" s="14">
        <v>1</v>
      </c>
      <c r="H216" s="1">
        <f t="shared" si="8"/>
        <v>7.1040000000000001</v>
      </c>
      <c r="I216" s="16">
        <v>13</v>
      </c>
      <c r="J216" s="2">
        <f>Tabla1[[#This Row],[PVF]]*Tabla1[[#This Row],[UNIDADES]]</f>
        <v>13</v>
      </c>
      <c r="K216" s="9"/>
      <c r="L216" s="10">
        <f>Tabla1[[#This Row],[EMP.]]+Tabla1[[#This Row],[PVF]]</f>
        <v>13</v>
      </c>
      <c r="M216" s="17">
        <f>IFERROR((Tabla1[[#This Row],[PVF]]-Tabla1[[#This Row],[PRECIO U.]])/Tabla1[[#This Row],[PRECIO U.]],"")</f>
        <v>0.82995495495495497</v>
      </c>
      <c r="N216" s="18">
        <f>IFERROR(Tabla1[[#This Row],[PVF]]-Tabla1[[#This Row],[PRECIO U.]],"")</f>
        <v>5.8959999999999999</v>
      </c>
    </row>
    <row r="217" spans="2:14" x14ac:dyDescent="0.25">
      <c r="B217" t="s">
        <v>227</v>
      </c>
      <c r="C217" s="1" t="s">
        <v>35</v>
      </c>
      <c r="D217" t="s">
        <v>243</v>
      </c>
      <c r="E217" s="15" t="s">
        <v>259</v>
      </c>
      <c r="F217" s="13">
        <v>2.21</v>
      </c>
      <c r="G217" s="14">
        <v>1</v>
      </c>
      <c r="H217" s="1">
        <f t="shared" si="8"/>
        <v>2.6519999999999997</v>
      </c>
      <c r="I217" s="16">
        <v>5</v>
      </c>
      <c r="J217" s="2">
        <f>Tabla1[[#This Row],[PVF]]*Tabla1[[#This Row],[UNIDADES]]</f>
        <v>5</v>
      </c>
      <c r="K217" s="9"/>
      <c r="L217" s="10">
        <f>Tabla1[[#This Row],[EMP.]]+Tabla1[[#This Row],[PVF]]</f>
        <v>5</v>
      </c>
      <c r="M217" s="17">
        <f>IFERROR((Tabla1[[#This Row],[PVF]]-Tabla1[[#This Row],[PRECIO U.]])/Tabla1[[#This Row],[PRECIO U.]],"")</f>
        <v>0.88536953242835614</v>
      </c>
      <c r="N217" s="18">
        <f>IFERROR(Tabla1[[#This Row],[PVF]]-Tabla1[[#This Row],[PRECIO U.]],"")</f>
        <v>2.3480000000000003</v>
      </c>
    </row>
    <row r="218" spans="2:14" x14ac:dyDescent="0.25">
      <c r="B218" t="s">
        <v>227</v>
      </c>
      <c r="C218" s="1" t="s">
        <v>35</v>
      </c>
      <c r="D218" t="s">
        <v>243</v>
      </c>
      <c r="E218" s="15" t="s">
        <v>260</v>
      </c>
      <c r="F218" s="13">
        <v>2.5499999999999998</v>
      </c>
      <c r="G218" s="14">
        <v>1</v>
      </c>
      <c r="H218" s="1">
        <f t="shared" si="8"/>
        <v>3.0599999999999996</v>
      </c>
      <c r="I218" s="16">
        <v>6</v>
      </c>
      <c r="J218" s="2">
        <f>Tabla1[[#This Row],[PVF]]*Tabla1[[#This Row],[UNIDADES]]</f>
        <v>6</v>
      </c>
      <c r="K218" s="9"/>
      <c r="L218" s="10">
        <f>Tabla1[[#This Row],[EMP.]]+Tabla1[[#This Row],[PVF]]</f>
        <v>6</v>
      </c>
      <c r="M218" s="17">
        <f>IFERROR((Tabla1[[#This Row],[PVF]]-Tabla1[[#This Row],[PRECIO U.]])/Tabla1[[#This Row],[PRECIO U.]],"")</f>
        <v>0.96078431372549045</v>
      </c>
      <c r="N218" s="18">
        <f>IFERROR(Tabla1[[#This Row],[PVF]]-Tabla1[[#This Row],[PRECIO U.]],"")</f>
        <v>2.9400000000000004</v>
      </c>
    </row>
    <row r="219" spans="2:14" x14ac:dyDescent="0.25">
      <c r="B219" t="s">
        <v>227</v>
      </c>
      <c r="C219" s="1" t="s">
        <v>35</v>
      </c>
      <c r="D219" t="s">
        <v>266</v>
      </c>
      <c r="E219" s="15" t="s">
        <v>261</v>
      </c>
      <c r="F219" s="13">
        <v>2.86</v>
      </c>
      <c r="G219" s="14">
        <v>1</v>
      </c>
      <c r="H219" s="1">
        <f t="shared" si="8"/>
        <v>3.4319999999999999</v>
      </c>
      <c r="I219" s="16">
        <v>7</v>
      </c>
      <c r="J219" s="2">
        <f>Tabla1[[#This Row],[PVF]]*Tabla1[[#This Row],[UNIDADES]]</f>
        <v>7</v>
      </c>
      <c r="K219" s="9"/>
      <c r="L219" s="10">
        <f>Tabla1[[#This Row],[EMP.]]+Tabla1[[#This Row],[PVF]]</f>
        <v>7</v>
      </c>
      <c r="M219" s="17">
        <f>IFERROR((Tabla1[[#This Row],[PVF]]-Tabla1[[#This Row],[PRECIO U.]])/Tabla1[[#This Row],[PRECIO U.]],"")</f>
        <v>1.0396270396270397</v>
      </c>
      <c r="N219" s="18">
        <f>IFERROR(Tabla1[[#This Row],[PVF]]-Tabla1[[#This Row],[PRECIO U.]],"")</f>
        <v>3.5680000000000001</v>
      </c>
    </row>
    <row r="220" spans="2:14" x14ac:dyDescent="0.25">
      <c r="B220" t="s">
        <v>227</v>
      </c>
      <c r="C220" s="1" t="s">
        <v>35</v>
      </c>
      <c r="D220" t="s">
        <v>265</v>
      </c>
      <c r="E220" s="15" t="s">
        <v>262</v>
      </c>
      <c r="F220" s="13">
        <v>4</v>
      </c>
      <c r="G220" s="14">
        <v>1</v>
      </c>
      <c r="H220" s="1">
        <f t="shared" si="8"/>
        <v>4.8</v>
      </c>
      <c r="I220" s="16">
        <v>10</v>
      </c>
      <c r="J220" s="2">
        <f>Tabla1[[#This Row],[PVF]]*Tabla1[[#This Row],[UNIDADES]]</f>
        <v>10</v>
      </c>
      <c r="K220" s="9"/>
      <c r="L220" s="10">
        <f>Tabla1[[#This Row],[EMP.]]+Tabla1[[#This Row],[PVF]]</f>
        <v>10</v>
      </c>
      <c r="M220" s="17">
        <f>IFERROR((Tabla1[[#This Row],[PVF]]-Tabla1[[#This Row],[PRECIO U.]])/Tabla1[[#This Row],[PRECIO U.]],"")</f>
        <v>1.0833333333333335</v>
      </c>
      <c r="N220" s="18">
        <f>IFERROR(Tabla1[[#This Row],[PVF]]-Tabla1[[#This Row],[PRECIO U.]],"")</f>
        <v>5.2</v>
      </c>
    </row>
    <row r="221" spans="2:14" x14ac:dyDescent="0.25">
      <c r="B221" t="s">
        <v>227</v>
      </c>
      <c r="C221" s="1" t="s">
        <v>35</v>
      </c>
      <c r="D221" t="s">
        <v>58</v>
      </c>
      <c r="E221" s="15" t="s">
        <v>263</v>
      </c>
      <c r="F221" s="13">
        <v>1.95</v>
      </c>
      <c r="G221" s="14">
        <v>1</v>
      </c>
      <c r="H221" s="1">
        <f t="shared" si="8"/>
        <v>2.34</v>
      </c>
      <c r="I221" s="16">
        <v>6</v>
      </c>
      <c r="J221" s="2">
        <f>Tabla1[[#This Row],[PVF]]*Tabla1[[#This Row],[UNIDADES]]</f>
        <v>6</v>
      </c>
      <c r="K221" s="9"/>
      <c r="L221" s="10">
        <f>Tabla1[[#This Row],[EMP.]]+Tabla1[[#This Row],[PVF]]</f>
        <v>6</v>
      </c>
      <c r="M221" s="17">
        <f>IFERROR((Tabla1[[#This Row],[PVF]]-Tabla1[[#This Row],[PRECIO U.]])/Tabla1[[#This Row],[PRECIO U.]],"")</f>
        <v>1.5641025641025643</v>
      </c>
      <c r="N221" s="18">
        <f>IFERROR(Tabla1[[#This Row],[PVF]]-Tabla1[[#This Row],[PRECIO U.]],"")</f>
        <v>3.66</v>
      </c>
    </row>
    <row r="222" spans="2:14" x14ac:dyDescent="0.25">
      <c r="B222" t="s">
        <v>227</v>
      </c>
      <c r="C222" s="1" t="s">
        <v>64</v>
      </c>
      <c r="D222" t="s">
        <v>267</v>
      </c>
      <c r="E222" s="15" t="s">
        <v>268</v>
      </c>
      <c r="F222" s="13">
        <v>3.78</v>
      </c>
      <c r="G222" s="14">
        <v>8</v>
      </c>
      <c r="H222" s="1">
        <f t="shared" si="8"/>
        <v>0.56699999999999995</v>
      </c>
      <c r="I222" s="16">
        <v>1.25</v>
      </c>
      <c r="J222" s="2">
        <f>Tabla1[[#This Row],[PVF]]*Tabla1[[#This Row],[UNIDADES]]</f>
        <v>10</v>
      </c>
      <c r="K222" s="9"/>
      <c r="L222" s="10">
        <f>Tabla1[[#This Row],[EMP.]]+Tabla1[[#This Row],[PVF]]</f>
        <v>1.25</v>
      </c>
      <c r="M222" s="17">
        <f>IFERROR((Tabla1[[#This Row],[PVF]]-Tabla1[[#This Row],[PRECIO U.]])/Tabla1[[#This Row],[PRECIO U.]],"")</f>
        <v>1.2045855379188715</v>
      </c>
      <c r="N222" s="18">
        <f>IFERROR(Tabla1[[#This Row],[PVF]]-Tabla1[[#This Row],[PRECIO U.]],"")</f>
        <v>0.68300000000000005</v>
      </c>
    </row>
    <row r="223" spans="2:14" x14ac:dyDescent="0.25">
      <c r="B223" t="s">
        <v>227</v>
      </c>
      <c r="C223" s="1" t="s">
        <v>34</v>
      </c>
      <c r="D223" t="s">
        <v>264</v>
      </c>
      <c r="E223" s="15" t="s">
        <v>269</v>
      </c>
      <c r="F223" s="13">
        <v>1.61</v>
      </c>
      <c r="G223" s="14">
        <v>2</v>
      </c>
      <c r="H223" s="1">
        <v>0.95</v>
      </c>
      <c r="I223" s="16">
        <v>2</v>
      </c>
      <c r="J223" s="2">
        <f>Tabla1[[#This Row],[PVF]]*Tabla1[[#This Row],[UNIDADES]]</f>
        <v>4</v>
      </c>
      <c r="K223" s="9"/>
      <c r="L223" s="10">
        <f>Tabla1[[#This Row],[EMP.]]+Tabla1[[#This Row],[PVF]]</f>
        <v>2</v>
      </c>
      <c r="M223" s="17">
        <f>IFERROR((Tabla1[[#This Row],[PVF]]-Tabla1[[#This Row],[PRECIO U.]])/Tabla1[[#This Row],[PRECIO U.]],"")</f>
        <v>1.1052631578947369</v>
      </c>
      <c r="N223" s="18">
        <f>IFERROR(Tabla1[[#This Row],[PVF]]-Tabla1[[#This Row],[PRECIO U.]],"")</f>
        <v>1.05</v>
      </c>
    </row>
    <row r="224" spans="2:14" x14ac:dyDescent="0.25">
      <c r="B224" t="s">
        <v>227</v>
      </c>
      <c r="C224" s="1" t="s">
        <v>35</v>
      </c>
      <c r="D224" t="s">
        <v>121</v>
      </c>
      <c r="E224" s="15" t="s">
        <v>270</v>
      </c>
      <c r="F224" s="13">
        <v>2.46</v>
      </c>
      <c r="G224" s="14">
        <v>1</v>
      </c>
      <c r="H224" s="1">
        <f t="shared" si="8"/>
        <v>2.952</v>
      </c>
      <c r="I224" s="16">
        <v>7</v>
      </c>
      <c r="J224" s="2">
        <f>Tabla1[[#This Row],[PVF]]*Tabla1[[#This Row],[UNIDADES]]</f>
        <v>7</v>
      </c>
      <c r="K224" s="9"/>
      <c r="L224" s="10">
        <f>Tabla1[[#This Row],[EMP.]]+Tabla1[[#This Row],[PVF]]</f>
        <v>7</v>
      </c>
      <c r="M224" s="17">
        <f>IFERROR((Tabla1[[#This Row],[PVF]]-Tabla1[[#This Row],[PRECIO U.]])/Tabla1[[#This Row],[PRECIO U.]],"")</f>
        <v>1.3712737127371275</v>
      </c>
      <c r="N224" s="18">
        <f>IFERROR(Tabla1[[#This Row],[PVF]]-Tabla1[[#This Row],[PRECIO U.]],"")</f>
        <v>4.048</v>
      </c>
    </row>
    <row r="225" spans="2:14" x14ac:dyDescent="0.25">
      <c r="B225" t="s">
        <v>227</v>
      </c>
      <c r="C225" s="1" t="s">
        <v>35</v>
      </c>
      <c r="D225" t="s">
        <v>121</v>
      </c>
      <c r="E225" s="15" t="s">
        <v>271</v>
      </c>
      <c r="F225" s="13">
        <v>3.29</v>
      </c>
      <c r="G225" s="14">
        <v>1</v>
      </c>
      <c r="H225" s="1">
        <f t="shared" si="8"/>
        <v>3.948</v>
      </c>
      <c r="I225" s="16">
        <v>9</v>
      </c>
      <c r="J225" s="2">
        <f>Tabla1[[#This Row],[PVF]]*Tabla1[[#This Row],[UNIDADES]]</f>
        <v>9</v>
      </c>
      <c r="K225" s="9"/>
      <c r="L225" s="10">
        <f>Tabla1[[#This Row],[EMP.]]+Tabla1[[#This Row],[PVF]]</f>
        <v>9</v>
      </c>
      <c r="M225" s="17">
        <f>IFERROR((Tabla1[[#This Row],[PVF]]-Tabla1[[#This Row],[PRECIO U.]])/Tabla1[[#This Row],[PRECIO U.]],"")</f>
        <v>1.2796352583586625</v>
      </c>
      <c r="N225" s="18">
        <f>IFERROR(Tabla1[[#This Row],[PVF]]-Tabla1[[#This Row],[PRECIO U.]],"")</f>
        <v>5.0519999999999996</v>
      </c>
    </row>
    <row r="226" spans="2:14" x14ac:dyDescent="0.25">
      <c r="B226" t="s">
        <v>227</v>
      </c>
      <c r="C226" s="1" t="s">
        <v>35</v>
      </c>
      <c r="D226" t="s">
        <v>139</v>
      </c>
      <c r="E226" s="15" t="s">
        <v>140</v>
      </c>
      <c r="F226" s="13">
        <v>2.11</v>
      </c>
      <c r="G226" s="14">
        <v>1</v>
      </c>
      <c r="H226" s="1">
        <f t="shared" ref="H226:H244" si="9">IFERROR(F226/G226*1.2,"")</f>
        <v>2.5319999999999996</v>
      </c>
      <c r="I226" s="16">
        <v>5</v>
      </c>
      <c r="J226" s="2">
        <f>Tabla1[[#This Row],[PVF]]*Tabla1[[#This Row],[UNIDADES]]</f>
        <v>5</v>
      </c>
      <c r="K226" s="9"/>
      <c r="L226" s="10">
        <f>Tabla1[[#This Row],[EMP.]]+Tabla1[[#This Row],[PVF]]</f>
        <v>5</v>
      </c>
      <c r="M226" s="17">
        <f>IFERROR((Tabla1[[#This Row],[PVF]]-Tabla1[[#This Row],[PRECIO U.]])/Tabla1[[#This Row],[PRECIO U.]],"")</f>
        <v>0.97472353870458173</v>
      </c>
      <c r="N226" s="18">
        <f>IFERROR(Tabla1[[#This Row],[PVF]]-Tabla1[[#This Row],[PRECIO U.]],"")</f>
        <v>2.4680000000000004</v>
      </c>
    </row>
    <row r="227" spans="2:14" x14ac:dyDescent="0.25">
      <c r="B227" t="s">
        <v>227</v>
      </c>
      <c r="C227" s="1" t="s">
        <v>35</v>
      </c>
      <c r="D227" t="s">
        <v>58</v>
      </c>
      <c r="E227" s="15" t="s">
        <v>272</v>
      </c>
      <c r="F227" s="13">
        <v>2.13</v>
      </c>
      <c r="G227" s="14">
        <v>1</v>
      </c>
      <c r="H227" s="1">
        <f t="shared" si="9"/>
        <v>2.5559999999999996</v>
      </c>
      <c r="I227" s="16">
        <v>5</v>
      </c>
      <c r="J227" s="2">
        <f>Tabla1[[#This Row],[PVF]]*Tabla1[[#This Row],[UNIDADES]]</f>
        <v>5</v>
      </c>
      <c r="K227" s="9"/>
      <c r="L227" s="10">
        <f>Tabla1[[#This Row],[EMP.]]+Tabla1[[#This Row],[PVF]]</f>
        <v>5</v>
      </c>
      <c r="M227" s="17">
        <f>IFERROR((Tabla1[[#This Row],[PVF]]-Tabla1[[#This Row],[PRECIO U.]])/Tabla1[[#This Row],[PRECIO U.]],"")</f>
        <v>0.95618153364632263</v>
      </c>
      <c r="N227" s="18">
        <f>IFERROR(Tabla1[[#This Row],[PVF]]-Tabla1[[#This Row],[PRECIO U.]],"")</f>
        <v>2.4440000000000004</v>
      </c>
    </row>
    <row r="228" spans="2:14" x14ac:dyDescent="0.25">
      <c r="B228" t="s">
        <v>227</v>
      </c>
      <c r="C228" s="1" t="s">
        <v>70</v>
      </c>
      <c r="D228" t="s">
        <v>71</v>
      </c>
      <c r="E228" s="15" t="s">
        <v>273</v>
      </c>
      <c r="F228" s="13">
        <v>1.92</v>
      </c>
      <c r="G228" s="14">
        <v>20</v>
      </c>
      <c r="H228" s="1">
        <f t="shared" si="9"/>
        <v>0.1152</v>
      </c>
      <c r="I228" s="16">
        <v>0.5</v>
      </c>
      <c r="J228" s="2">
        <f>Tabla1[[#This Row],[PVF]]*Tabla1[[#This Row],[UNIDADES]]</f>
        <v>10</v>
      </c>
      <c r="K228" s="9"/>
      <c r="L228" s="10">
        <f>Tabla1[[#This Row],[EMP.]]+Tabla1[[#This Row],[PVF]]</f>
        <v>0.5</v>
      </c>
      <c r="M228" s="17">
        <f>IFERROR((Tabla1[[#This Row],[PVF]]-Tabla1[[#This Row],[PRECIO U.]])/Tabla1[[#This Row],[PRECIO U.]],"")</f>
        <v>3.3402777777777781</v>
      </c>
      <c r="N228" s="18">
        <f>IFERROR(Tabla1[[#This Row],[PVF]]-Tabla1[[#This Row],[PRECIO U.]],"")</f>
        <v>0.38480000000000003</v>
      </c>
    </row>
    <row r="229" spans="2:14" x14ac:dyDescent="0.25">
      <c r="B229" t="s">
        <v>227</v>
      </c>
      <c r="C229" s="1" t="s">
        <v>35</v>
      </c>
      <c r="D229" t="s">
        <v>28</v>
      </c>
      <c r="E229" s="15" t="s">
        <v>274</v>
      </c>
      <c r="F229" s="13">
        <v>5.74</v>
      </c>
      <c r="G229" s="14">
        <v>1</v>
      </c>
      <c r="H229" s="1">
        <f t="shared" si="9"/>
        <v>6.8879999999999999</v>
      </c>
      <c r="I229" s="16">
        <v>10</v>
      </c>
      <c r="J229" s="2">
        <f>Tabla1[[#This Row],[PVF]]*Tabla1[[#This Row],[UNIDADES]]</f>
        <v>10</v>
      </c>
      <c r="K229" s="9"/>
      <c r="L229" s="10">
        <f>Tabla1[[#This Row],[EMP.]]+Tabla1[[#This Row],[PVF]]</f>
        <v>10</v>
      </c>
      <c r="M229" s="17">
        <f>IFERROR((Tabla1[[#This Row],[PVF]]-Tabla1[[#This Row],[PRECIO U.]])/Tabla1[[#This Row],[PRECIO U.]],"")</f>
        <v>0.45180023228803717</v>
      </c>
      <c r="N229" s="18">
        <f>IFERROR(Tabla1[[#This Row],[PVF]]-Tabla1[[#This Row],[PRECIO U.]],"")</f>
        <v>3.1120000000000001</v>
      </c>
    </row>
    <row r="230" spans="2:14" x14ac:dyDescent="0.25">
      <c r="B230" t="s">
        <v>227</v>
      </c>
      <c r="C230" s="1" t="s">
        <v>35</v>
      </c>
      <c r="D230" t="s">
        <v>28</v>
      </c>
      <c r="E230" s="15" t="s">
        <v>108</v>
      </c>
      <c r="F230" s="13">
        <v>4.9000000000000004</v>
      </c>
      <c r="G230" s="14">
        <v>1</v>
      </c>
      <c r="H230" s="1">
        <f t="shared" si="9"/>
        <v>5.88</v>
      </c>
      <c r="I230" s="16">
        <v>9</v>
      </c>
      <c r="J230" s="2">
        <f>Tabla1[[#This Row],[PVF]]*Tabla1[[#This Row],[UNIDADES]]</f>
        <v>9</v>
      </c>
      <c r="K230" s="9"/>
      <c r="L230" s="10">
        <f>Tabla1[[#This Row],[EMP.]]+Tabla1[[#This Row],[PVF]]</f>
        <v>9</v>
      </c>
      <c r="M230" s="17">
        <f>IFERROR((Tabla1[[#This Row],[PVF]]-Tabla1[[#This Row],[PRECIO U.]])/Tabla1[[#This Row],[PRECIO U.]],"")</f>
        <v>0.53061224489795922</v>
      </c>
      <c r="N230" s="18">
        <f>IFERROR(Tabla1[[#This Row],[PVF]]-Tabla1[[#This Row],[PRECIO U.]],"")</f>
        <v>3.12</v>
      </c>
    </row>
    <row r="231" spans="2:14" x14ac:dyDescent="0.25">
      <c r="B231" t="s">
        <v>227</v>
      </c>
      <c r="C231" s="1" t="s">
        <v>35</v>
      </c>
      <c r="D231" t="s">
        <v>28</v>
      </c>
      <c r="E231" s="15" t="s">
        <v>275</v>
      </c>
      <c r="F231" s="13">
        <v>6.09</v>
      </c>
      <c r="G231" s="14">
        <v>1</v>
      </c>
      <c r="H231" s="1">
        <f t="shared" si="9"/>
        <v>7.3079999999999998</v>
      </c>
      <c r="I231" s="16">
        <v>10</v>
      </c>
      <c r="J231" s="2">
        <f>Tabla1[[#This Row],[PVF]]*Tabla1[[#This Row],[UNIDADES]]</f>
        <v>10</v>
      </c>
      <c r="K231" s="9"/>
      <c r="L231" s="10">
        <f>Tabla1[[#This Row],[EMP.]]+Tabla1[[#This Row],[PVF]]</f>
        <v>10</v>
      </c>
      <c r="M231" s="17">
        <f>IFERROR((Tabla1[[#This Row],[PVF]]-Tabla1[[#This Row],[PRECIO U.]])/Tabla1[[#This Row],[PRECIO U.]],"")</f>
        <v>0.3683634373289546</v>
      </c>
      <c r="N231" s="18">
        <f>IFERROR(Tabla1[[#This Row],[PVF]]-Tabla1[[#This Row],[PRECIO U.]],"")</f>
        <v>2.6920000000000002</v>
      </c>
    </row>
    <row r="232" spans="2:14" x14ac:dyDescent="0.25">
      <c r="B232" t="s">
        <v>227</v>
      </c>
      <c r="C232" s="1" t="s">
        <v>35</v>
      </c>
      <c r="D232" t="s">
        <v>51</v>
      </c>
      <c r="E232" s="15" t="s">
        <v>276</v>
      </c>
      <c r="F232" s="13">
        <v>1.85</v>
      </c>
      <c r="G232" s="14">
        <v>1</v>
      </c>
      <c r="H232" s="1">
        <f t="shared" si="9"/>
        <v>2.2200000000000002</v>
      </c>
      <c r="I232" s="16">
        <v>3.5</v>
      </c>
      <c r="J232" s="2">
        <f>Tabla1[[#This Row],[PVF]]*Tabla1[[#This Row],[UNIDADES]]</f>
        <v>3.5</v>
      </c>
      <c r="K232" s="9"/>
      <c r="L232" s="10">
        <f>Tabla1[[#This Row],[EMP.]]+Tabla1[[#This Row],[PVF]]</f>
        <v>3.5</v>
      </c>
      <c r="M232" s="17">
        <f>IFERROR((Tabla1[[#This Row],[PVF]]-Tabla1[[#This Row],[PRECIO U.]])/Tabla1[[#This Row],[PRECIO U.]],"")</f>
        <v>0.57657657657657646</v>
      </c>
      <c r="N232" s="18">
        <f>IFERROR(Tabla1[[#This Row],[PVF]]-Tabla1[[#This Row],[PRECIO U.]],"")</f>
        <v>1.2799999999999998</v>
      </c>
    </row>
    <row r="233" spans="2:14" x14ac:dyDescent="0.25">
      <c r="B233" t="s">
        <v>227</v>
      </c>
      <c r="C233" s="1" t="s">
        <v>35</v>
      </c>
      <c r="D233" t="s">
        <v>28</v>
      </c>
      <c r="E233" s="15" t="s">
        <v>277</v>
      </c>
      <c r="F233" s="13">
        <v>9.0299999999999994</v>
      </c>
      <c r="G233" s="14">
        <v>1</v>
      </c>
      <c r="H233" s="1">
        <f t="shared" si="9"/>
        <v>10.835999999999999</v>
      </c>
      <c r="I233" s="16">
        <v>15</v>
      </c>
      <c r="J233" s="2">
        <f>Tabla1[[#This Row],[PVF]]*Tabla1[[#This Row],[UNIDADES]]</f>
        <v>15</v>
      </c>
      <c r="K233" s="9"/>
      <c r="L233" s="10">
        <f>Tabla1[[#This Row],[EMP.]]+Tabla1[[#This Row],[PVF]]</f>
        <v>15</v>
      </c>
      <c r="M233" s="17">
        <f>IFERROR((Tabla1[[#This Row],[PVF]]-Tabla1[[#This Row],[PRECIO U.]])/Tabla1[[#This Row],[PRECIO U.]],"")</f>
        <v>0.38427464008859374</v>
      </c>
      <c r="N233" s="18">
        <f>IFERROR(Tabla1[[#This Row],[PVF]]-Tabla1[[#This Row],[PRECIO U.]],"")</f>
        <v>4.1640000000000015</v>
      </c>
    </row>
    <row r="234" spans="2:14" x14ac:dyDescent="0.25">
      <c r="B234" t="s">
        <v>227</v>
      </c>
      <c r="C234" s="1" t="s">
        <v>35</v>
      </c>
      <c r="D234" t="s">
        <v>58</v>
      </c>
      <c r="E234" s="15" t="s">
        <v>59</v>
      </c>
      <c r="F234" s="13">
        <v>3.65</v>
      </c>
      <c r="G234" s="14">
        <v>1</v>
      </c>
      <c r="H234" s="1">
        <f t="shared" si="9"/>
        <v>4.38</v>
      </c>
      <c r="I234" s="16">
        <v>7</v>
      </c>
      <c r="J234" s="2">
        <f>Tabla1[[#This Row],[PVF]]*Tabla1[[#This Row],[UNIDADES]]</f>
        <v>7</v>
      </c>
      <c r="K234" s="9"/>
      <c r="L234" s="10">
        <f>Tabla1[[#This Row],[EMP.]]+Tabla1[[#This Row],[PVF]]</f>
        <v>7</v>
      </c>
      <c r="M234" s="17">
        <f>IFERROR((Tabla1[[#This Row],[PVF]]-Tabla1[[#This Row],[PRECIO U.]])/Tabla1[[#This Row],[PRECIO U.]],"")</f>
        <v>0.59817351598173518</v>
      </c>
      <c r="N234" s="18">
        <f>IFERROR(Tabla1[[#This Row],[PVF]]-Tabla1[[#This Row],[PRECIO U.]],"")</f>
        <v>2.62</v>
      </c>
    </row>
    <row r="235" spans="2:14" x14ac:dyDescent="0.25">
      <c r="B235" t="s">
        <v>227</v>
      </c>
      <c r="C235" s="1" t="s">
        <v>35</v>
      </c>
      <c r="D235" t="s">
        <v>265</v>
      </c>
      <c r="E235" s="15" t="s">
        <v>278</v>
      </c>
      <c r="F235" s="13">
        <v>4.5</v>
      </c>
      <c r="G235" s="14">
        <v>1</v>
      </c>
      <c r="H235" s="1">
        <f t="shared" si="9"/>
        <v>5.3999999999999995</v>
      </c>
      <c r="I235" s="16">
        <v>9</v>
      </c>
      <c r="J235" s="2">
        <f>Tabla1[[#This Row],[PVF]]*Tabla1[[#This Row],[UNIDADES]]</f>
        <v>9</v>
      </c>
      <c r="K235" s="9"/>
      <c r="L235" s="10">
        <f>Tabla1[[#This Row],[EMP.]]+Tabla1[[#This Row],[PVF]]</f>
        <v>9</v>
      </c>
      <c r="M235" s="17">
        <f>IFERROR((Tabla1[[#This Row],[PVF]]-Tabla1[[#This Row],[PRECIO U.]])/Tabla1[[#This Row],[PRECIO U.]],"")</f>
        <v>0.66666666666666685</v>
      </c>
      <c r="N235" s="18">
        <f>IFERROR(Tabla1[[#This Row],[PVF]]-Tabla1[[#This Row],[PRECIO U.]],"")</f>
        <v>3.6000000000000005</v>
      </c>
    </row>
    <row r="236" spans="2:14" x14ac:dyDescent="0.25">
      <c r="B236" t="s">
        <v>227</v>
      </c>
      <c r="C236" s="1" t="s">
        <v>34</v>
      </c>
      <c r="D236" t="s">
        <v>26</v>
      </c>
      <c r="E236" s="15" t="s">
        <v>279</v>
      </c>
      <c r="F236" s="13">
        <v>2.2999999999999998</v>
      </c>
      <c r="G236" s="14">
        <v>1</v>
      </c>
      <c r="H236" s="1">
        <f t="shared" si="9"/>
        <v>2.76</v>
      </c>
      <c r="I236" s="16">
        <v>5</v>
      </c>
      <c r="J236" s="2">
        <f>Tabla1[[#This Row],[PVF]]*Tabla1[[#This Row],[UNIDADES]]</f>
        <v>5</v>
      </c>
      <c r="K236" s="9"/>
      <c r="L236" s="10">
        <f>Tabla1[[#This Row],[EMP.]]+Tabla1[[#This Row],[PVF]]</f>
        <v>5</v>
      </c>
      <c r="M236" s="17">
        <f>IFERROR((Tabla1[[#This Row],[PVF]]-Tabla1[[#This Row],[PRECIO U.]])/Tabla1[[#This Row],[PRECIO U.]],"")</f>
        <v>0.81159420289855089</v>
      </c>
      <c r="N236" s="18">
        <f>IFERROR(Tabla1[[#This Row],[PVF]]-Tabla1[[#This Row],[PRECIO U.]],"")</f>
        <v>2.2400000000000002</v>
      </c>
    </row>
    <row r="237" spans="2:14" x14ac:dyDescent="0.25">
      <c r="B237" t="s">
        <v>227</v>
      </c>
      <c r="C237" s="1" t="s">
        <v>35</v>
      </c>
      <c r="D237" t="s">
        <v>28</v>
      </c>
      <c r="E237" s="15" t="s">
        <v>280</v>
      </c>
      <c r="F237" s="13">
        <v>10.63</v>
      </c>
      <c r="G237" s="14">
        <v>1</v>
      </c>
      <c r="H237" s="1">
        <f t="shared" si="9"/>
        <v>12.756</v>
      </c>
      <c r="I237" s="16">
        <v>17</v>
      </c>
      <c r="J237" s="2">
        <f>Tabla1[[#This Row],[PVF]]*Tabla1[[#This Row],[UNIDADES]]</f>
        <v>17</v>
      </c>
      <c r="K237" s="9"/>
      <c r="L237" s="10">
        <f>Tabla1[[#This Row],[EMP.]]+Tabla1[[#This Row],[PVF]]</f>
        <v>17</v>
      </c>
      <c r="M237" s="17">
        <f>IFERROR((Tabla1[[#This Row],[PVF]]-Tabla1[[#This Row],[PRECIO U.]])/Tabla1[[#This Row],[PRECIO U.]],"")</f>
        <v>0.332706177485105</v>
      </c>
      <c r="N237" s="18">
        <f>IFERROR(Tabla1[[#This Row],[PVF]]-Tabla1[[#This Row],[PRECIO U.]],"")</f>
        <v>4.2439999999999998</v>
      </c>
    </row>
    <row r="238" spans="2:14" x14ac:dyDescent="0.25">
      <c r="B238" t="s">
        <v>227</v>
      </c>
      <c r="C238" s="1" t="s">
        <v>35</v>
      </c>
      <c r="D238" t="s">
        <v>281</v>
      </c>
      <c r="E238" s="15" t="s">
        <v>282</v>
      </c>
      <c r="F238" s="13">
        <v>11.6</v>
      </c>
      <c r="G238" s="14">
        <v>1</v>
      </c>
      <c r="H238" s="1">
        <f t="shared" si="9"/>
        <v>13.92</v>
      </c>
      <c r="I238" s="16">
        <v>17</v>
      </c>
      <c r="J238" s="2">
        <f>Tabla1[[#This Row],[PVF]]*Tabla1[[#This Row],[UNIDADES]]</f>
        <v>17</v>
      </c>
      <c r="K238" s="9"/>
      <c r="L238" s="10">
        <f>Tabla1[[#This Row],[EMP.]]+Tabla1[[#This Row],[PVF]]</f>
        <v>17</v>
      </c>
      <c r="M238" s="17">
        <f>IFERROR((Tabla1[[#This Row],[PVF]]-Tabla1[[#This Row],[PRECIO U.]])/Tabla1[[#This Row],[PRECIO U.]],"")</f>
        <v>0.22126436781609196</v>
      </c>
      <c r="N238" s="18">
        <f>IFERROR(Tabla1[[#This Row],[PVF]]-Tabla1[[#This Row],[PRECIO U.]],"")</f>
        <v>3.08</v>
      </c>
    </row>
    <row r="239" spans="2:14" x14ac:dyDescent="0.25">
      <c r="B239" t="s">
        <v>227</v>
      </c>
      <c r="C239" s="1" t="s">
        <v>35</v>
      </c>
      <c r="D239" t="s">
        <v>281</v>
      </c>
      <c r="E239" s="15" t="s">
        <v>283</v>
      </c>
      <c r="F239" s="13">
        <v>8.2899999999999991</v>
      </c>
      <c r="G239" s="14">
        <v>1</v>
      </c>
      <c r="H239" s="1">
        <f t="shared" si="9"/>
        <v>9.9479999999999986</v>
      </c>
      <c r="I239" s="16">
        <v>15</v>
      </c>
      <c r="J239" s="2">
        <f>Tabla1[[#This Row],[PVF]]*Tabla1[[#This Row],[UNIDADES]]</f>
        <v>15</v>
      </c>
      <c r="K239" s="9"/>
      <c r="L239" s="10">
        <f>Tabla1[[#This Row],[EMP.]]+Tabla1[[#This Row],[PVF]]</f>
        <v>15</v>
      </c>
      <c r="M239" s="17">
        <f>IFERROR((Tabla1[[#This Row],[PVF]]-Tabla1[[#This Row],[PRECIO U.]])/Tabla1[[#This Row],[PRECIO U.]],"")</f>
        <v>0.50784077201447553</v>
      </c>
      <c r="N239" s="18">
        <f>IFERROR(Tabla1[[#This Row],[PVF]]-Tabla1[[#This Row],[PRECIO U.]],"")</f>
        <v>5.0520000000000014</v>
      </c>
    </row>
    <row r="240" spans="2:14" x14ac:dyDescent="0.25">
      <c r="B240" t="s">
        <v>227</v>
      </c>
      <c r="C240" s="1" t="s">
        <v>34</v>
      </c>
      <c r="D240" t="s">
        <v>95</v>
      </c>
      <c r="E240" s="15" t="s">
        <v>284</v>
      </c>
      <c r="F240" s="13">
        <v>2.25</v>
      </c>
      <c r="G240" s="14">
        <v>3</v>
      </c>
      <c r="H240" s="1">
        <f t="shared" si="9"/>
        <v>0.89999999999999991</v>
      </c>
      <c r="I240" s="16">
        <v>2</v>
      </c>
      <c r="J240" s="2">
        <f>Tabla1[[#This Row],[PVF]]*Tabla1[[#This Row],[UNIDADES]]</f>
        <v>6</v>
      </c>
      <c r="K240" s="9"/>
      <c r="L240" s="10">
        <f>Tabla1[[#This Row],[EMP.]]+Tabla1[[#This Row],[PVF]]</f>
        <v>2</v>
      </c>
      <c r="M240" s="17">
        <f>IFERROR((Tabla1[[#This Row],[PVF]]-Tabla1[[#This Row],[PRECIO U.]])/Tabla1[[#This Row],[PRECIO U.]],"")</f>
        <v>1.2222222222222225</v>
      </c>
      <c r="N240" s="18">
        <f>IFERROR(Tabla1[[#This Row],[PVF]]-Tabla1[[#This Row],[PRECIO U.]],"")</f>
        <v>1.1000000000000001</v>
      </c>
    </row>
    <row r="241" spans="2:14" x14ac:dyDescent="0.25">
      <c r="B241" t="s">
        <v>227</v>
      </c>
      <c r="C241" s="1" t="s">
        <v>34</v>
      </c>
      <c r="D241" t="s">
        <v>225</v>
      </c>
      <c r="E241" s="15" t="s">
        <v>285</v>
      </c>
      <c r="F241" s="13">
        <v>2.5499999999999998</v>
      </c>
      <c r="G241" s="14">
        <v>1</v>
      </c>
      <c r="H241" s="1">
        <f t="shared" si="9"/>
        <v>3.0599999999999996</v>
      </c>
      <c r="I241" s="16">
        <v>5</v>
      </c>
      <c r="J241" s="2">
        <f>Tabla1[[#This Row],[PVF]]*Tabla1[[#This Row],[UNIDADES]]</f>
        <v>5</v>
      </c>
      <c r="K241" s="9"/>
      <c r="L241" s="10">
        <f>Tabla1[[#This Row],[EMP.]]+Tabla1[[#This Row],[PVF]]</f>
        <v>5</v>
      </c>
      <c r="M241" s="17">
        <f>IFERROR((Tabla1[[#This Row],[PVF]]-Tabla1[[#This Row],[PRECIO U.]])/Tabla1[[#This Row],[PRECIO U.]],"")</f>
        <v>0.63398692810457535</v>
      </c>
      <c r="N241" s="18">
        <f>IFERROR(Tabla1[[#This Row],[PVF]]-Tabla1[[#This Row],[PRECIO U.]],"")</f>
        <v>1.9400000000000004</v>
      </c>
    </row>
    <row r="242" spans="2:14" x14ac:dyDescent="0.25">
      <c r="B242" t="s">
        <v>227</v>
      </c>
      <c r="C242" s="1" t="s">
        <v>34</v>
      </c>
      <c r="D242" t="s">
        <v>30</v>
      </c>
      <c r="E242" s="15" t="s">
        <v>286</v>
      </c>
      <c r="F242" s="13">
        <v>1.68</v>
      </c>
      <c r="G242" s="14">
        <v>1</v>
      </c>
      <c r="H242" s="1">
        <f t="shared" si="9"/>
        <v>2.016</v>
      </c>
      <c r="I242" s="16">
        <v>4</v>
      </c>
      <c r="J242" s="2">
        <f>Tabla1[[#This Row],[PVF]]*Tabla1[[#This Row],[UNIDADES]]</f>
        <v>4</v>
      </c>
      <c r="K242" s="9"/>
      <c r="L242" s="10">
        <f>Tabla1[[#This Row],[EMP.]]+Tabla1[[#This Row],[PVF]]</f>
        <v>4</v>
      </c>
      <c r="M242" s="17">
        <f>IFERROR((Tabla1[[#This Row],[PVF]]-Tabla1[[#This Row],[PRECIO U.]])/Tabla1[[#This Row],[PRECIO U.]],"")</f>
        <v>0.98412698412698407</v>
      </c>
      <c r="N242" s="18">
        <f>IFERROR(Tabla1[[#This Row],[PVF]]-Tabla1[[#This Row],[PRECIO U.]],"")</f>
        <v>1.984</v>
      </c>
    </row>
    <row r="243" spans="2:14" x14ac:dyDescent="0.25">
      <c r="B243" t="s">
        <v>227</v>
      </c>
      <c r="C243" s="1" t="s">
        <v>34</v>
      </c>
      <c r="D243" t="s">
        <v>136</v>
      </c>
      <c r="E243" s="15" t="s">
        <v>287</v>
      </c>
      <c r="F243" s="13">
        <v>1.08</v>
      </c>
      <c r="G243" s="14">
        <v>1</v>
      </c>
      <c r="H243" s="1">
        <f t="shared" si="9"/>
        <v>1.296</v>
      </c>
      <c r="I243" s="16">
        <v>3</v>
      </c>
      <c r="J243" s="2">
        <f>Tabla1[[#This Row],[PVF]]*Tabla1[[#This Row],[UNIDADES]]</f>
        <v>3</v>
      </c>
      <c r="K243" s="9"/>
      <c r="L243" s="10">
        <f>Tabla1[[#This Row],[EMP.]]+Tabla1[[#This Row],[PVF]]</f>
        <v>3</v>
      </c>
      <c r="M243" s="17">
        <f>IFERROR((Tabla1[[#This Row],[PVF]]-Tabla1[[#This Row],[PRECIO U.]])/Tabla1[[#This Row],[PRECIO U.]],"")</f>
        <v>1.3148148148148147</v>
      </c>
      <c r="N243" s="18">
        <f>IFERROR(Tabla1[[#This Row],[PVF]]-Tabla1[[#This Row],[PRECIO U.]],"")</f>
        <v>1.704</v>
      </c>
    </row>
    <row r="244" spans="2:14" x14ac:dyDescent="0.25">
      <c r="B244" t="s">
        <v>227</v>
      </c>
      <c r="C244" s="1" t="s">
        <v>34</v>
      </c>
      <c r="D244" t="s">
        <v>225</v>
      </c>
      <c r="E244" s="15" t="s">
        <v>288</v>
      </c>
      <c r="F244" s="13">
        <v>1.56</v>
      </c>
      <c r="G244" s="14">
        <v>1</v>
      </c>
      <c r="H244" s="1">
        <f t="shared" si="9"/>
        <v>1.8719999999999999</v>
      </c>
      <c r="I244" s="16">
        <v>4</v>
      </c>
      <c r="J244" s="2">
        <f>Tabla1[[#This Row],[PVF]]*Tabla1[[#This Row],[UNIDADES]]</f>
        <v>4</v>
      </c>
      <c r="K244" s="9"/>
      <c r="L244" s="10">
        <f>Tabla1[[#This Row],[EMP.]]+Tabla1[[#This Row],[PVF]]</f>
        <v>4</v>
      </c>
      <c r="M244" s="17">
        <f>IFERROR((Tabla1[[#This Row],[PVF]]-Tabla1[[#This Row],[PRECIO U.]])/Tabla1[[#This Row],[PRECIO U.]],"")</f>
        <v>1.1367521367521369</v>
      </c>
      <c r="N244" s="18">
        <f>IFERROR(Tabla1[[#This Row],[PVF]]-Tabla1[[#This Row],[PRECIO U.]],"")</f>
        <v>2.1280000000000001</v>
      </c>
    </row>
    <row r="245" spans="2:14" x14ac:dyDescent="0.25">
      <c r="B245" t="s">
        <v>227</v>
      </c>
      <c r="C245" s="1" t="s">
        <v>34</v>
      </c>
      <c r="D245" t="s">
        <v>225</v>
      </c>
      <c r="E245" s="15" t="s">
        <v>289</v>
      </c>
      <c r="F245" s="13">
        <v>1.45</v>
      </c>
      <c r="G245" s="14">
        <v>1</v>
      </c>
      <c r="H245" s="1">
        <f t="shared" ref="H245:H257" si="10">IFERROR(F245/G245*1.2,"")</f>
        <v>1.74</v>
      </c>
      <c r="I245" s="16">
        <v>4</v>
      </c>
      <c r="J245" s="2">
        <f>Tabla1[[#This Row],[PVF]]*Tabla1[[#This Row],[UNIDADES]]</f>
        <v>4</v>
      </c>
      <c r="K245" s="9"/>
      <c r="L245" s="10">
        <f>Tabla1[[#This Row],[EMP.]]+Tabla1[[#This Row],[PVF]]</f>
        <v>4</v>
      </c>
      <c r="M245" s="17">
        <f>IFERROR((Tabla1[[#This Row],[PVF]]-Tabla1[[#This Row],[PRECIO U.]])/Tabla1[[#This Row],[PRECIO U.]],"")</f>
        <v>1.2988505747126435</v>
      </c>
      <c r="N245" s="18">
        <f>IFERROR(Tabla1[[#This Row],[PVF]]-Tabla1[[#This Row],[PRECIO U.]],"")</f>
        <v>2.2599999999999998</v>
      </c>
    </row>
    <row r="246" spans="2:14" x14ac:dyDescent="0.25">
      <c r="B246" t="s">
        <v>227</v>
      </c>
      <c r="C246" s="1" t="s">
        <v>34</v>
      </c>
      <c r="D246" t="s">
        <v>264</v>
      </c>
      <c r="E246" s="15" t="s">
        <v>290</v>
      </c>
      <c r="F246" s="13">
        <v>1.31</v>
      </c>
      <c r="G246" s="14">
        <v>1</v>
      </c>
      <c r="H246" s="1">
        <f t="shared" si="10"/>
        <v>1.5720000000000001</v>
      </c>
      <c r="I246" s="16">
        <v>3</v>
      </c>
      <c r="J246" s="2">
        <f>Tabla1[[#This Row],[PVF]]*Tabla1[[#This Row],[UNIDADES]]</f>
        <v>3</v>
      </c>
      <c r="K246" s="9">
        <v>0.5</v>
      </c>
      <c r="L246" s="10">
        <f>Tabla1[[#This Row],[EMP.]]+Tabla1[[#This Row],[PVF]]</f>
        <v>3.5</v>
      </c>
      <c r="M246" s="17">
        <f>IFERROR((Tabla1[[#This Row],[PVF]]-Tabla1[[#This Row],[PRECIO U.]])/Tabla1[[#This Row],[PRECIO U.]],"")</f>
        <v>0.90839694656488545</v>
      </c>
      <c r="N246" s="18">
        <f>IFERROR(Tabla1[[#This Row],[PVF]]-Tabla1[[#This Row],[PRECIO U.]],"")</f>
        <v>1.4279999999999999</v>
      </c>
    </row>
    <row r="247" spans="2:14" x14ac:dyDescent="0.25">
      <c r="B247" t="s">
        <v>227</v>
      </c>
      <c r="C247" s="1" t="s">
        <v>35</v>
      </c>
      <c r="D247" t="s">
        <v>28</v>
      </c>
      <c r="E247" s="15" t="s">
        <v>291</v>
      </c>
      <c r="F247" s="13">
        <v>8.83</v>
      </c>
      <c r="G247" s="14">
        <v>1</v>
      </c>
      <c r="H247" s="1">
        <f t="shared" si="10"/>
        <v>10.596</v>
      </c>
      <c r="I247" s="16">
        <v>15</v>
      </c>
      <c r="J247" s="2">
        <f>Tabla1[[#This Row],[PVF]]*Tabla1[[#This Row],[UNIDADES]]</f>
        <v>15</v>
      </c>
      <c r="K247" s="9"/>
      <c r="L247" s="10">
        <f>Tabla1[[#This Row],[EMP.]]+Tabla1[[#This Row],[PVF]]</f>
        <v>15</v>
      </c>
      <c r="M247" s="17">
        <f>IFERROR((Tabla1[[#This Row],[PVF]]-Tabla1[[#This Row],[PRECIO U.]])/Tabla1[[#This Row],[PRECIO U.]],"")</f>
        <v>0.41562853907134767</v>
      </c>
      <c r="N247" s="18">
        <f>IFERROR(Tabla1[[#This Row],[PVF]]-Tabla1[[#This Row],[PRECIO U.]],"")</f>
        <v>4.4039999999999999</v>
      </c>
    </row>
    <row r="248" spans="2:14" x14ac:dyDescent="0.25">
      <c r="B248" t="s">
        <v>227</v>
      </c>
      <c r="C248" s="1" t="s">
        <v>35</v>
      </c>
      <c r="D248" t="s">
        <v>28</v>
      </c>
      <c r="E248" s="15" t="s">
        <v>292</v>
      </c>
      <c r="F248" s="13">
        <v>7.99</v>
      </c>
      <c r="G248" s="14">
        <v>1</v>
      </c>
      <c r="H248" s="1">
        <f t="shared" si="10"/>
        <v>9.5879999999999992</v>
      </c>
      <c r="I248" s="16">
        <v>13</v>
      </c>
      <c r="J248" s="2">
        <f>Tabla1[[#This Row],[PVF]]*Tabla1[[#This Row],[UNIDADES]]</f>
        <v>13</v>
      </c>
      <c r="K248" s="9"/>
      <c r="L248" s="10">
        <f>Tabla1[[#This Row],[EMP.]]+Tabla1[[#This Row],[PVF]]</f>
        <v>13</v>
      </c>
      <c r="M248" s="17">
        <f>IFERROR((Tabla1[[#This Row],[PVF]]-Tabla1[[#This Row],[PRECIO U.]])/Tabla1[[#This Row],[PRECIO U.]],"")</f>
        <v>0.35586149353358376</v>
      </c>
      <c r="N248" s="18">
        <f>IFERROR(Tabla1[[#This Row],[PVF]]-Tabla1[[#This Row],[PRECIO U.]],"")</f>
        <v>3.4120000000000008</v>
      </c>
    </row>
    <row r="249" spans="2:14" x14ac:dyDescent="0.25">
      <c r="B249" t="s">
        <v>227</v>
      </c>
      <c r="C249" s="1" t="s">
        <v>35</v>
      </c>
      <c r="D249" t="s">
        <v>28</v>
      </c>
      <c r="E249" s="15" t="s">
        <v>293</v>
      </c>
      <c r="F249" s="13">
        <v>5.2</v>
      </c>
      <c r="G249" s="14">
        <v>1</v>
      </c>
      <c r="H249" s="1">
        <f t="shared" si="10"/>
        <v>6.24</v>
      </c>
      <c r="I249" s="16">
        <v>10</v>
      </c>
      <c r="J249" s="2">
        <f>Tabla1[[#This Row],[PVF]]*Tabla1[[#This Row],[UNIDADES]]</f>
        <v>10</v>
      </c>
      <c r="K249" s="9"/>
      <c r="L249" s="10">
        <f>Tabla1[[#This Row],[EMP.]]+Tabla1[[#This Row],[PVF]]</f>
        <v>10</v>
      </c>
      <c r="M249" s="17">
        <f>IFERROR((Tabla1[[#This Row],[PVF]]-Tabla1[[#This Row],[PRECIO U.]])/Tabla1[[#This Row],[PRECIO U.]],"")</f>
        <v>0.60256410256410253</v>
      </c>
      <c r="N249" s="18">
        <f>IFERROR(Tabla1[[#This Row],[PVF]]-Tabla1[[#This Row],[PRECIO U.]],"")</f>
        <v>3.76</v>
      </c>
    </row>
    <row r="250" spans="2:14" x14ac:dyDescent="0.25">
      <c r="B250" t="s">
        <v>227</v>
      </c>
      <c r="C250" s="1" t="s">
        <v>35</v>
      </c>
      <c r="D250" t="s">
        <v>28</v>
      </c>
      <c r="E250" s="15" t="s">
        <v>294</v>
      </c>
      <c r="F250" s="13">
        <v>5.1100000000000003</v>
      </c>
      <c r="G250" s="14">
        <v>1</v>
      </c>
      <c r="H250" s="1">
        <f t="shared" si="10"/>
        <v>6.1320000000000006</v>
      </c>
      <c r="I250" s="16">
        <v>10</v>
      </c>
      <c r="J250" s="2">
        <f>Tabla1[[#This Row],[PVF]]*Tabla1[[#This Row],[UNIDADES]]</f>
        <v>10</v>
      </c>
      <c r="K250" s="9"/>
      <c r="L250" s="10">
        <f>Tabla1[[#This Row],[EMP.]]+Tabla1[[#This Row],[PVF]]</f>
        <v>10</v>
      </c>
      <c r="M250" s="17">
        <f>IFERROR((Tabla1[[#This Row],[PVF]]-Tabla1[[#This Row],[PRECIO U.]])/Tabla1[[#This Row],[PRECIO U.]],"")</f>
        <v>0.63078930202217853</v>
      </c>
      <c r="N250" s="18">
        <f>IFERROR(Tabla1[[#This Row],[PVF]]-Tabla1[[#This Row],[PRECIO U.]],"")</f>
        <v>3.8679999999999994</v>
      </c>
    </row>
    <row r="251" spans="2:14" x14ac:dyDescent="0.25">
      <c r="B251" t="s">
        <v>227</v>
      </c>
      <c r="C251" s="1" t="s">
        <v>35</v>
      </c>
      <c r="D251" t="s">
        <v>28</v>
      </c>
      <c r="E251" s="15" t="s">
        <v>108</v>
      </c>
      <c r="F251" s="13">
        <v>3.08</v>
      </c>
      <c r="G251" s="14">
        <v>1</v>
      </c>
      <c r="H251" s="1">
        <f t="shared" si="10"/>
        <v>3.6959999999999997</v>
      </c>
      <c r="I251" s="16">
        <v>7</v>
      </c>
      <c r="J251" s="2">
        <f>Tabla1[[#This Row],[PVF]]*Tabla1[[#This Row],[UNIDADES]]</f>
        <v>7</v>
      </c>
      <c r="K251" s="9"/>
      <c r="L251" s="10">
        <f>Tabla1[[#This Row],[EMP.]]+Tabla1[[#This Row],[PVF]]</f>
        <v>7</v>
      </c>
      <c r="M251" s="17">
        <f>IFERROR((Tabla1[[#This Row],[PVF]]-Tabla1[[#This Row],[PRECIO U.]])/Tabla1[[#This Row],[PRECIO U.]],"")</f>
        <v>0.89393939393939403</v>
      </c>
      <c r="N251" s="18">
        <f>IFERROR(Tabla1[[#This Row],[PVF]]-Tabla1[[#This Row],[PRECIO U.]],"")</f>
        <v>3.3040000000000003</v>
      </c>
    </row>
    <row r="252" spans="2:14" x14ac:dyDescent="0.25">
      <c r="B252" t="s">
        <v>227</v>
      </c>
      <c r="C252" s="1" t="s">
        <v>35</v>
      </c>
      <c r="D252" t="s">
        <v>28</v>
      </c>
      <c r="E252" s="15" t="s">
        <v>295</v>
      </c>
      <c r="F252" s="13">
        <v>6.46</v>
      </c>
      <c r="G252" s="14">
        <v>1</v>
      </c>
      <c r="H252" s="1">
        <f t="shared" si="10"/>
        <v>7.7519999999999998</v>
      </c>
      <c r="I252" s="16">
        <v>13</v>
      </c>
      <c r="J252" s="2">
        <f>Tabla1[[#This Row],[PVF]]*Tabla1[[#This Row],[UNIDADES]]</f>
        <v>13</v>
      </c>
      <c r="K252" s="9"/>
      <c r="L252" s="10">
        <f>Tabla1[[#This Row],[EMP.]]+Tabla1[[#This Row],[PVF]]</f>
        <v>13</v>
      </c>
      <c r="M252" s="17">
        <f>IFERROR((Tabla1[[#This Row],[PVF]]-Tabla1[[#This Row],[PRECIO U.]])/Tabla1[[#This Row],[PRECIO U.]],"")</f>
        <v>0.67698658410732715</v>
      </c>
      <c r="N252" s="18">
        <f>IFERROR(Tabla1[[#This Row],[PVF]]-Tabla1[[#This Row],[PRECIO U.]],"")</f>
        <v>5.2480000000000002</v>
      </c>
    </row>
    <row r="253" spans="2:14" x14ac:dyDescent="0.25">
      <c r="B253" t="s">
        <v>227</v>
      </c>
      <c r="C253" s="1" t="s">
        <v>35</v>
      </c>
      <c r="D253" t="s">
        <v>28</v>
      </c>
      <c r="E253" s="15" t="s">
        <v>296</v>
      </c>
      <c r="F253" s="13">
        <v>5.42</v>
      </c>
      <c r="G253" s="14">
        <v>1</v>
      </c>
      <c r="H253" s="1">
        <f t="shared" si="10"/>
        <v>6.5039999999999996</v>
      </c>
      <c r="I253" s="16">
        <v>12</v>
      </c>
      <c r="J253" s="2">
        <f>Tabla1[[#This Row],[PVF]]*Tabla1[[#This Row],[UNIDADES]]</f>
        <v>12</v>
      </c>
      <c r="K253" s="9"/>
      <c r="L253" s="10">
        <f>Tabla1[[#This Row],[EMP.]]+Tabla1[[#This Row],[PVF]]</f>
        <v>12</v>
      </c>
      <c r="M253" s="17">
        <f>IFERROR((Tabla1[[#This Row],[PVF]]-Tabla1[[#This Row],[PRECIO U.]])/Tabla1[[#This Row],[PRECIO U.]],"")</f>
        <v>0.84501845018450195</v>
      </c>
      <c r="N253" s="18">
        <f>IFERROR(Tabla1[[#This Row],[PVF]]-Tabla1[[#This Row],[PRECIO U.]],"")</f>
        <v>5.4960000000000004</v>
      </c>
    </row>
    <row r="254" spans="2:14" x14ac:dyDescent="0.25">
      <c r="B254" t="s">
        <v>227</v>
      </c>
      <c r="C254" s="1" t="s">
        <v>35</v>
      </c>
      <c r="D254" t="s">
        <v>28</v>
      </c>
      <c r="E254" s="15" t="s">
        <v>297</v>
      </c>
      <c r="F254" s="13">
        <v>3.33</v>
      </c>
      <c r="G254" s="14">
        <v>1</v>
      </c>
      <c r="H254" s="1">
        <f t="shared" si="10"/>
        <v>3.996</v>
      </c>
      <c r="I254" s="16">
        <v>7</v>
      </c>
      <c r="J254" s="2">
        <f>Tabla1[[#This Row],[PVF]]*Tabla1[[#This Row],[UNIDADES]]</f>
        <v>7</v>
      </c>
      <c r="K254" s="9"/>
      <c r="L254" s="10">
        <f>Tabla1[[#This Row],[EMP.]]+Tabla1[[#This Row],[PVF]]</f>
        <v>7</v>
      </c>
      <c r="M254" s="17">
        <f>IFERROR((Tabla1[[#This Row],[PVF]]-Tabla1[[#This Row],[PRECIO U.]])/Tabla1[[#This Row],[PRECIO U.]],"")</f>
        <v>0.7517517517517518</v>
      </c>
      <c r="N254" s="18">
        <f>IFERROR(Tabla1[[#This Row],[PVF]]-Tabla1[[#This Row],[PRECIO U.]],"")</f>
        <v>3.004</v>
      </c>
    </row>
    <row r="255" spans="2:14" x14ac:dyDescent="0.25">
      <c r="B255" t="s">
        <v>227</v>
      </c>
      <c r="C255" s="1" t="s">
        <v>35</v>
      </c>
      <c r="D255" t="s">
        <v>28</v>
      </c>
      <c r="E255" s="15" t="s">
        <v>104</v>
      </c>
      <c r="F255" s="13">
        <v>3.51</v>
      </c>
      <c r="G255" s="14">
        <v>1</v>
      </c>
      <c r="H255" s="1">
        <f t="shared" si="10"/>
        <v>4.2119999999999997</v>
      </c>
      <c r="I255" s="16">
        <v>7</v>
      </c>
      <c r="J255" s="2">
        <f>Tabla1[[#This Row],[PVF]]*Tabla1[[#This Row],[UNIDADES]]</f>
        <v>7</v>
      </c>
      <c r="K255" s="9"/>
      <c r="L255" s="10">
        <f>Tabla1[[#This Row],[EMP.]]+Tabla1[[#This Row],[PVF]]</f>
        <v>7</v>
      </c>
      <c r="M255" s="17">
        <f>IFERROR((Tabla1[[#This Row],[PVF]]-Tabla1[[#This Row],[PRECIO U.]])/Tabla1[[#This Row],[PRECIO U.]],"")</f>
        <v>0.66191832858499533</v>
      </c>
      <c r="N255" s="18">
        <f>IFERROR(Tabla1[[#This Row],[PVF]]-Tabla1[[#This Row],[PRECIO U.]],"")</f>
        <v>2.7880000000000003</v>
      </c>
    </row>
    <row r="256" spans="2:14" x14ac:dyDescent="0.25">
      <c r="B256" t="s">
        <v>227</v>
      </c>
      <c r="C256" s="1" t="s">
        <v>35</v>
      </c>
      <c r="D256" t="s">
        <v>281</v>
      </c>
      <c r="E256" s="15" t="s">
        <v>298</v>
      </c>
      <c r="F256" s="13">
        <v>3.91</v>
      </c>
      <c r="G256" s="14">
        <v>1</v>
      </c>
      <c r="H256" s="1">
        <f t="shared" si="10"/>
        <v>4.6920000000000002</v>
      </c>
      <c r="I256" s="16">
        <v>8</v>
      </c>
      <c r="J256" s="2">
        <f>Tabla1[[#This Row],[PVF]]*Tabla1[[#This Row],[UNIDADES]]</f>
        <v>8</v>
      </c>
      <c r="K256" s="9"/>
      <c r="L256" s="10">
        <f>Tabla1[[#This Row],[EMP.]]+Tabla1[[#This Row],[PVF]]</f>
        <v>8</v>
      </c>
      <c r="M256" s="17">
        <f>IFERROR((Tabla1[[#This Row],[PVF]]-Tabla1[[#This Row],[PRECIO U.]])/Tabla1[[#This Row],[PRECIO U.]],"")</f>
        <v>0.70502983802216534</v>
      </c>
      <c r="N256" s="18">
        <f>IFERROR(Tabla1[[#This Row],[PVF]]-Tabla1[[#This Row],[PRECIO U.]],"")</f>
        <v>3.3079999999999998</v>
      </c>
    </row>
    <row r="257" spans="2:14" x14ac:dyDescent="0.25">
      <c r="B257" t="s">
        <v>227</v>
      </c>
      <c r="C257" s="1" t="s">
        <v>35</v>
      </c>
      <c r="D257" t="s">
        <v>281</v>
      </c>
      <c r="E257" s="15" t="s">
        <v>299</v>
      </c>
      <c r="F257" s="13">
        <v>2.91</v>
      </c>
      <c r="G257" s="14">
        <v>1</v>
      </c>
      <c r="H257" s="1">
        <f t="shared" si="10"/>
        <v>3.492</v>
      </c>
      <c r="I257" s="16">
        <v>6</v>
      </c>
      <c r="J257" s="2">
        <f>Tabla1[[#This Row],[PVF]]*Tabla1[[#This Row],[UNIDADES]]</f>
        <v>6</v>
      </c>
      <c r="K257" s="9"/>
      <c r="L257" s="10">
        <f>Tabla1[[#This Row],[EMP.]]+Tabla1[[#This Row],[PVF]]</f>
        <v>6</v>
      </c>
      <c r="M257" s="17">
        <f>IFERROR((Tabla1[[#This Row],[PVF]]-Tabla1[[#This Row],[PRECIO U.]])/Tabla1[[#This Row],[PRECIO U.]],"")</f>
        <v>0.71821305841924399</v>
      </c>
      <c r="N257" s="18">
        <f>IFERROR(Tabla1[[#This Row],[PVF]]-Tabla1[[#This Row],[PRECIO U.]],"")</f>
        <v>2.508</v>
      </c>
    </row>
    <row r="258" spans="2:14" x14ac:dyDescent="0.25">
      <c r="B258" t="s">
        <v>227</v>
      </c>
      <c r="C258" s="1" t="s">
        <v>35</v>
      </c>
      <c r="D258" t="s">
        <v>28</v>
      </c>
      <c r="E258" s="15" t="s">
        <v>300</v>
      </c>
      <c r="F258" s="13">
        <v>2.1</v>
      </c>
      <c r="G258" s="14">
        <v>1</v>
      </c>
      <c r="H258" s="1">
        <f t="shared" ref="H258:H271" si="11">IFERROR(F258/G258*1.2,"")</f>
        <v>2.52</v>
      </c>
      <c r="I258" s="16">
        <v>6</v>
      </c>
      <c r="J258" s="2">
        <f>Tabla1[[#This Row],[PVF]]*Tabla1[[#This Row],[UNIDADES]]</f>
        <v>6</v>
      </c>
      <c r="K258" s="9"/>
      <c r="L258" s="10">
        <f>Tabla1[[#This Row],[EMP.]]+Tabla1[[#This Row],[PVF]]</f>
        <v>6</v>
      </c>
      <c r="M258" s="17">
        <f>IFERROR((Tabla1[[#This Row],[PVF]]-Tabla1[[#This Row],[PRECIO U.]])/Tabla1[[#This Row],[PRECIO U.]],"")</f>
        <v>1.3809523809523809</v>
      </c>
      <c r="N258" s="18">
        <f>IFERROR(Tabla1[[#This Row],[PVF]]-Tabla1[[#This Row],[PRECIO U.]],"")</f>
        <v>3.48</v>
      </c>
    </row>
    <row r="259" spans="2:14" x14ac:dyDescent="0.25">
      <c r="B259" t="s">
        <v>227</v>
      </c>
      <c r="C259" s="1" t="s">
        <v>35</v>
      </c>
      <c r="D259" t="s">
        <v>28</v>
      </c>
      <c r="E259" s="15" t="s">
        <v>131</v>
      </c>
      <c r="F259" s="13">
        <v>5.38</v>
      </c>
      <c r="G259" s="14">
        <v>1</v>
      </c>
      <c r="H259" s="1">
        <f t="shared" si="11"/>
        <v>6.4559999999999995</v>
      </c>
      <c r="I259" s="16">
        <v>11</v>
      </c>
      <c r="J259" s="2">
        <f>Tabla1[[#This Row],[PVF]]*Tabla1[[#This Row],[UNIDADES]]</f>
        <v>11</v>
      </c>
      <c r="K259" s="9"/>
      <c r="L259" s="10">
        <f>Tabla1[[#This Row],[EMP.]]+Tabla1[[#This Row],[PVF]]</f>
        <v>11</v>
      </c>
      <c r="M259" s="17">
        <f>IFERROR((Tabla1[[#This Row],[PVF]]-Tabla1[[#This Row],[PRECIO U.]])/Tabla1[[#This Row],[PRECIO U.]],"")</f>
        <v>0.70384138785625783</v>
      </c>
      <c r="N259" s="18">
        <f>IFERROR(Tabla1[[#This Row],[PVF]]-Tabla1[[#This Row],[PRECIO U.]],"")</f>
        <v>4.5440000000000005</v>
      </c>
    </row>
    <row r="260" spans="2:14" x14ac:dyDescent="0.25">
      <c r="B260" t="s">
        <v>227</v>
      </c>
      <c r="C260" s="1" t="s">
        <v>35</v>
      </c>
      <c r="D260" t="s">
        <v>28</v>
      </c>
      <c r="E260" s="15" t="s">
        <v>301</v>
      </c>
      <c r="F260" s="13">
        <v>4.99</v>
      </c>
      <c r="G260" s="14">
        <v>1</v>
      </c>
      <c r="H260" s="1">
        <f t="shared" si="11"/>
        <v>5.9880000000000004</v>
      </c>
      <c r="I260" s="16">
        <v>12</v>
      </c>
      <c r="J260" s="2">
        <f>Tabla1[[#This Row],[PVF]]*Tabla1[[#This Row],[UNIDADES]]</f>
        <v>12</v>
      </c>
      <c r="K260" s="9"/>
      <c r="L260" s="10">
        <f>Tabla1[[#This Row],[EMP.]]+Tabla1[[#This Row],[PVF]]</f>
        <v>12</v>
      </c>
      <c r="M260" s="17">
        <f>IFERROR((Tabla1[[#This Row],[PVF]]-Tabla1[[#This Row],[PRECIO U.]])/Tabla1[[#This Row],[PRECIO U.]],"")</f>
        <v>1.0040080160320639</v>
      </c>
      <c r="N260" s="18">
        <f>IFERROR(Tabla1[[#This Row],[PVF]]-Tabla1[[#This Row],[PRECIO U.]],"")</f>
        <v>6.0119999999999996</v>
      </c>
    </row>
    <row r="261" spans="2:14" x14ac:dyDescent="0.25">
      <c r="B261" t="s">
        <v>227</v>
      </c>
      <c r="C261" s="1" t="s">
        <v>35</v>
      </c>
      <c r="D261" t="s">
        <v>281</v>
      </c>
      <c r="E261" s="15" t="s">
        <v>302</v>
      </c>
      <c r="F261" s="13">
        <v>4.1900000000000004</v>
      </c>
      <c r="G261" s="14">
        <v>1</v>
      </c>
      <c r="H261" s="1">
        <f t="shared" si="11"/>
        <v>5.0280000000000005</v>
      </c>
      <c r="I261" s="16">
        <v>8</v>
      </c>
      <c r="J261" s="2">
        <f>Tabla1[[#This Row],[PVF]]*Tabla1[[#This Row],[UNIDADES]]</f>
        <v>8</v>
      </c>
      <c r="K261" s="9"/>
      <c r="L261" s="10">
        <f>Tabla1[[#This Row],[EMP.]]+Tabla1[[#This Row],[PVF]]</f>
        <v>8</v>
      </c>
      <c r="M261" s="17">
        <f>IFERROR((Tabla1[[#This Row],[PVF]]-Tabla1[[#This Row],[PRECIO U.]])/Tabla1[[#This Row],[PRECIO U.]],"")</f>
        <v>0.59108989657915656</v>
      </c>
      <c r="N261" s="18">
        <f>IFERROR(Tabla1[[#This Row],[PVF]]-Tabla1[[#This Row],[PRECIO U.]],"")</f>
        <v>2.9719999999999995</v>
      </c>
    </row>
    <row r="262" spans="2:14" x14ac:dyDescent="0.25">
      <c r="B262" t="s">
        <v>227</v>
      </c>
      <c r="C262" s="1" t="s">
        <v>35</v>
      </c>
      <c r="D262" t="s">
        <v>28</v>
      </c>
      <c r="E262" s="15" t="s">
        <v>303</v>
      </c>
      <c r="F262" s="13">
        <v>4.55</v>
      </c>
      <c r="G262" s="14">
        <v>1</v>
      </c>
      <c r="H262" s="1">
        <f t="shared" si="11"/>
        <v>5.46</v>
      </c>
      <c r="I262" s="16">
        <v>10</v>
      </c>
      <c r="J262" s="2">
        <f>Tabla1[[#This Row],[PVF]]*Tabla1[[#This Row],[UNIDADES]]</f>
        <v>10</v>
      </c>
      <c r="K262" s="9"/>
      <c r="L262" s="10">
        <f>Tabla1[[#This Row],[EMP.]]+Tabla1[[#This Row],[PVF]]</f>
        <v>10</v>
      </c>
      <c r="M262" s="17">
        <f>IFERROR((Tabla1[[#This Row],[PVF]]-Tabla1[[#This Row],[PRECIO U.]])/Tabla1[[#This Row],[PRECIO U.]],"")</f>
        <v>0.83150183150183155</v>
      </c>
      <c r="N262" s="18">
        <f>IFERROR(Tabla1[[#This Row],[PVF]]-Tabla1[[#This Row],[PRECIO U.]],"")</f>
        <v>4.54</v>
      </c>
    </row>
    <row r="263" spans="2:14" x14ac:dyDescent="0.25">
      <c r="B263" t="s">
        <v>227</v>
      </c>
      <c r="C263" s="1" t="s">
        <v>35</v>
      </c>
      <c r="D263" t="s">
        <v>28</v>
      </c>
      <c r="E263" s="15" t="s">
        <v>304</v>
      </c>
      <c r="F263" s="13">
        <v>4.18</v>
      </c>
      <c r="G263" s="14">
        <v>1</v>
      </c>
      <c r="H263" s="1">
        <f t="shared" si="11"/>
        <v>5.0159999999999991</v>
      </c>
      <c r="I263" s="16">
        <v>12</v>
      </c>
      <c r="J263" s="2">
        <f>Tabla1[[#This Row],[PVF]]*Tabla1[[#This Row],[UNIDADES]]</f>
        <v>12</v>
      </c>
      <c r="K263" s="9"/>
      <c r="L263" s="10">
        <f>Tabla1[[#This Row],[EMP.]]+Tabla1[[#This Row],[PVF]]</f>
        <v>12</v>
      </c>
      <c r="M263" s="17">
        <f>IFERROR((Tabla1[[#This Row],[PVF]]-Tabla1[[#This Row],[PRECIO U.]])/Tabla1[[#This Row],[PRECIO U.]],"")</f>
        <v>1.392344497607656</v>
      </c>
      <c r="N263" s="18">
        <f>IFERROR(Tabla1[[#This Row],[PVF]]-Tabla1[[#This Row],[PRECIO U.]],"")</f>
        <v>6.9840000000000009</v>
      </c>
    </row>
    <row r="264" spans="2:14" x14ac:dyDescent="0.25">
      <c r="B264" t="s">
        <v>227</v>
      </c>
      <c r="C264" s="1" t="s">
        <v>35</v>
      </c>
      <c r="D264" t="s">
        <v>28</v>
      </c>
      <c r="E264" s="15" t="s">
        <v>305</v>
      </c>
      <c r="F264" s="13">
        <v>4.21</v>
      </c>
      <c r="G264" s="14">
        <v>1</v>
      </c>
      <c r="H264" s="1">
        <f t="shared" si="11"/>
        <v>5.0519999999999996</v>
      </c>
      <c r="I264" s="16">
        <v>10</v>
      </c>
      <c r="J264" s="2">
        <f>Tabla1[[#This Row],[PVF]]*Tabla1[[#This Row],[UNIDADES]]</f>
        <v>10</v>
      </c>
      <c r="K264" s="9"/>
      <c r="L264" s="10">
        <f>Tabla1[[#This Row],[EMP.]]+Tabla1[[#This Row],[PVF]]</f>
        <v>10</v>
      </c>
      <c r="M264" s="17">
        <f>IFERROR((Tabla1[[#This Row],[PVF]]-Tabla1[[#This Row],[PRECIO U.]])/Tabla1[[#This Row],[PRECIO U.]],"")</f>
        <v>0.9794140934283454</v>
      </c>
      <c r="N264" s="18">
        <f>IFERROR(Tabla1[[#This Row],[PVF]]-Tabla1[[#This Row],[PRECIO U.]],"")</f>
        <v>4.9480000000000004</v>
      </c>
    </row>
    <row r="265" spans="2:14" x14ac:dyDescent="0.25">
      <c r="B265" t="s">
        <v>227</v>
      </c>
      <c r="C265" s="1" t="s">
        <v>35</v>
      </c>
      <c r="D265" t="s">
        <v>28</v>
      </c>
      <c r="E265" s="15" t="s">
        <v>306</v>
      </c>
      <c r="F265" s="13">
        <v>2.73</v>
      </c>
      <c r="G265" s="14">
        <v>1</v>
      </c>
      <c r="H265" s="1">
        <f t="shared" si="11"/>
        <v>3.2759999999999998</v>
      </c>
      <c r="I265" s="16">
        <v>6</v>
      </c>
      <c r="J265" s="2">
        <f>Tabla1[[#This Row],[PVF]]*Tabla1[[#This Row],[UNIDADES]]</f>
        <v>6</v>
      </c>
      <c r="K265" s="9"/>
      <c r="L265" s="10">
        <f>Tabla1[[#This Row],[EMP.]]+Tabla1[[#This Row],[PVF]]</f>
        <v>6</v>
      </c>
      <c r="M265" s="17">
        <f>IFERROR((Tabla1[[#This Row],[PVF]]-Tabla1[[#This Row],[PRECIO U.]])/Tabla1[[#This Row],[PRECIO U.]],"")</f>
        <v>0.83150183150183166</v>
      </c>
      <c r="N265" s="18">
        <f>IFERROR(Tabla1[[#This Row],[PVF]]-Tabla1[[#This Row],[PRECIO U.]],"")</f>
        <v>2.7240000000000002</v>
      </c>
    </row>
    <row r="266" spans="2:14" x14ac:dyDescent="0.25">
      <c r="B266" t="s">
        <v>320</v>
      </c>
      <c r="C266" s="1" t="s">
        <v>35</v>
      </c>
      <c r="D266" t="s">
        <v>58</v>
      </c>
      <c r="E266" s="15" t="s">
        <v>307</v>
      </c>
      <c r="F266" s="13">
        <v>6.63</v>
      </c>
      <c r="G266" s="14">
        <v>10</v>
      </c>
      <c r="H266" s="1">
        <f t="shared" si="11"/>
        <v>0.79559999999999997</v>
      </c>
      <c r="I266" s="16">
        <v>1.5</v>
      </c>
      <c r="J266" s="2">
        <f>Tabla1[[#This Row],[PVF]]*Tabla1[[#This Row],[UNIDADES]]</f>
        <v>15</v>
      </c>
      <c r="K266" s="9"/>
      <c r="L266" s="10">
        <f>Tabla1[[#This Row],[EMP.]]+Tabla1[[#This Row],[PVF]]</f>
        <v>1.5</v>
      </c>
      <c r="M266" s="17">
        <f>IFERROR((Tabla1[[#This Row],[PVF]]-Tabla1[[#This Row],[PRECIO U.]])/Tabla1[[#This Row],[PRECIO U.]],"")</f>
        <v>0.88536953242835603</v>
      </c>
      <c r="N266" s="18">
        <f>IFERROR(Tabla1[[#This Row],[PVF]]-Tabla1[[#This Row],[PRECIO U.]],"")</f>
        <v>0.70440000000000003</v>
      </c>
    </row>
    <row r="267" spans="2:14" x14ac:dyDescent="0.25">
      <c r="B267" t="s">
        <v>320</v>
      </c>
      <c r="C267" s="1" t="s">
        <v>64</v>
      </c>
      <c r="D267" t="s">
        <v>267</v>
      </c>
      <c r="E267" s="15" t="s">
        <v>308</v>
      </c>
      <c r="F267" s="13">
        <v>4.2</v>
      </c>
      <c r="G267" s="14">
        <v>8</v>
      </c>
      <c r="H267" s="1">
        <f t="shared" si="11"/>
        <v>0.63</v>
      </c>
      <c r="I267" s="16">
        <v>1.25</v>
      </c>
      <c r="J267" s="2">
        <f>Tabla1[[#This Row],[PVF]]*Tabla1[[#This Row],[UNIDADES]]</f>
        <v>10</v>
      </c>
      <c r="K267" s="9"/>
      <c r="L267" s="10">
        <f>Tabla1[[#This Row],[EMP.]]+Tabla1[[#This Row],[PVF]]</f>
        <v>1.25</v>
      </c>
      <c r="M267" s="17">
        <f>IFERROR((Tabla1[[#This Row],[PVF]]-Tabla1[[#This Row],[PRECIO U.]])/Tabla1[[#This Row],[PRECIO U.]],"")</f>
        <v>0.98412698412698407</v>
      </c>
      <c r="N267" s="18">
        <f>IFERROR(Tabla1[[#This Row],[PVF]]-Tabla1[[#This Row],[PRECIO U.]],"")</f>
        <v>0.62</v>
      </c>
    </row>
    <row r="268" spans="2:14" x14ac:dyDescent="0.25">
      <c r="B268" t="s">
        <v>320</v>
      </c>
      <c r="C268" s="1" t="s">
        <v>35</v>
      </c>
      <c r="D268" t="s">
        <v>51</v>
      </c>
      <c r="E268" s="15" t="s">
        <v>309</v>
      </c>
      <c r="F268" s="13">
        <v>2.61</v>
      </c>
      <c r="G268" s="14">
        <v>1</v>
      </c>
      <c r="H268" s="1">
        <f t="shared" si="11"/>
        <v>3.1319999999999997</v>
      </c>
      <c r="I268" s="16">
        <v>3.5</v>
      </c>
      <c r="J268" s="2">
        <f>Tabla1[[#This Row],[PVF]]*Tabla1[[#This Row],[UNIDADES]]</f>
        <v>3.5</v>
      </c>
      <c r="K268" s="9"/>
      <c r="L268" s="10">
        <f>Tabla1[[#This Row],[EMP.]]+Tabla1[[#This Row],[PVF]]</f>
        <v>3.5</v>
      </c>
      <c r="M268" s="17">
        <f>IFERROR((Tabla1[[#This Row],[PVF]]-Tabla1[[#This Row],[PRECIO U.]])/Tabla1[[#This Row],[PRECIO U.]],"")</f>
        <v>0.11749680715197969</v>
      </c>
      <c r="N268" s="18">
        <f>IFERROR(Tabla1[[#This Row],[PVF]]-Tabla1[[#This Row],[PRECIO U.]],"")</f>
        <v>0.36800000000000033</v>
      </c>
    </row>
    <row r="269" spans="2:14" x14ac:dyDescent="0.25">
      <c r="B269" t="s">
        <v>320</v>
      </c>
      <c r="C269" s="1" t="s">
        <v>35</v>
      </c>
      <c r="D269" t="s">
        <v>28</v>
      </c>
      <c r="E269" s="15" t="s">
        <v>310</v>
      </c>
      <c r="F269" s="13">
        <v>4.75</v>
      </c>
      <c r="G269" s="14">
        <v>1</v>
      </c>
      <c r="H269" s="1">
        <f t="shared" si="11"/>
        <v>5.7</v>
      </c>
      <c r="I269" s="16">
        <v>8</v>
      </c>
      <c r="J269" s="2">
        <f>Tabla1[[#This Row],[PVF]]*Tabla1[[#This Row],[UNIDADES]]</f>
        <v>8</v>
      </c>
      <c r="K269" s="9"/>
      <c r="L269" s="10">
        <f>Tabla1[[#This Row],[EMP.]]+Tabla1[[#This Row],[PVF]]</f>
        <v>8</v>
      </c>
      <c r="M269" s="17">
        <f>IFERROR((Tabla1[[#This Row],[PVF]]-Tabla1[[#This Row],[PRECIO U.]])/Tabla1[[#This Row],[PRECIO U.]],"")</f>
        <v>0.40350877192982454</v>
      </c>
      <c r="N269" s="18">
        <f>IFERROR(Tabla1[[#This Row],[PVF]]-Tabla1[[#This Row],[PRECIO U.]],"")</f>
        <v>2.2999999999999998</v>
      </c>
    </row>
    <row r="270" spans="2:14" x14ac:dyDescent="0.25">
      <c r="B270" t="s">
        <v>320</v>
      </c>
      <c r="C270" s="1" t="s">
        <v>35</v>
      </c>
      <c r="D270" t="s">
        <v>51</v>
      </c>
      <c r="E270" s="15" t="s">
        <v>311</v>
      </c>
      <c r="F270" s="13">
        <v>2.13</v>
      </c>
      <c r="G270" s="14">
        <v>1</v>
      </c>
      <c r="H270" s="1">
        <f t="shared" si="11"/>
        <v>2.5559999999999996</v>
      </c>
      <c r="I270" s="16">
        <v>5</v>
      </c>
      <c r="J270" s="2">
        <f>Tabla1[[#This Row],[PVF]]*Tabla1[[#This Row],[UNIDADES]]</f>
        <v>5</v>
      </c>
      <c r="K270" s="9"/>
      <c r="L270" s="10">
        <f>Tabla1[[#This Row],[EMP.]]+Tabla1[[#This Row],[PVF]]</f>
        <v>5</v>
      </c>
      <c r="M270" s="17">
        <f>IFERROR((Tabla1[[#This Row],[PVF]]-Tabla1[[#This Row],[PRECIO U.]])/Tabla1[[#This Row],[PRECIO U.]],"")</f>
        <v>0.95618153364632263</v>
      </c>
      <c r="N270" s="18">
        <f>IFERROR(Tabla1[[#This Row],[PVF]]-Tabla1[[#This Row],[PRECIO U.]],"")</f>
        <v>2.4440000000000004</v>
      </c>
    </row>
    <row r="271" spans="2:14" x14ac:dyDescent="0.25">
      <c r="B271" t="s">
        <v>320</v>
      </c>
      <c r="C271" s="1" t="s">
        <v>35</v>
      </c>
      <c r="D271" t="s">
        <v>28</v>
      </c>
      <c r="E271" s="15" t="s">
        <v>312</v>
      </c>
      <c r="F271" s="13">
        <v>4.32</v>
      </c>
      <c r="G271" s="14">
        <v>1</v>
      </c>
      <c r="H271" s="1">
        <f t="shared" si="11"/>
        <v>5.1840000000000002</v>
      </c>
      <c r="I271" s="16">
        <v>10</v>
      </c>
      <c r="J271" s="2">
        <f>Tabla1[[#This Row],[PVF]]*Tabla1[[#This Row],[UNIDADES]]</f>
        <v>10</v>
      </c>
      <c r="K271" s="9"/>
      <c r="L271" s="10">
        <f>Tabla1[[#This Row],[EMP.]]+Tabla1[[#This Row],[PVF]]</f>
        <v>10</v>
      </c>
      <c r="M271" s="17">
        <f>IFERROR((Tabla1[[#This Row],[PVF]]-Tabla1[[#This Row],[PRECIO U.]])/Tabla1[[#This Row],[PRECIO U.]],"")</f>
        <v>0.92901234567901225</v>
      </c>
      <c r="N271" s="18">
        <f>IFERROR(Tabla1[[#This Row],[PVF]]-Tabla1[[#This Row],[PRECIO U.]],"")</f>
        <v>4.8159999999999998</v>
      </c>
    </row>
    <row r="272" spans="2:14" x14ac:dyDescent="0.25">
      <c r="B272" t="s">
        <v>320</v>
      </c>
      <c r="C272" s="1" t="s">
        <v>35</v>
      </c>
      <c r="D272" t="s">
        <v>28</v>
      </c>
      <c r="E272" s="15" t="s">
        <v>313</v>
      </c>
      <c r="F272" s="13">
        <v>10.84</v>
      </c>
      <c r="G272" s="20">
        <v>1</v>
      </c>
      <c r="H272" s="21">
        <f t="shared" ref="H272:H287" si="12">IFERROR(F272/G272*1.2,"")</f>
        <v>13.007999999999999</v>
      </c>
      <c r="I272" s="16">
        <v>15</v>
      </c>
      <c r="J272" s="2">
        <f>Tabla1[[#This Row],[PVF]]*Tabla1[[#This Row],[UNIDADES]]</f>
        <v>15</v>
      </c>
      <c r="K272" s="9"/>
      <c r="L272" s="10">
        <f>Tabla1[[#This Row],[EMP.]]+Tabla1[[#This Row],[PVF]]</f>
        <v>15</v>
      </c>
      <c r="M272" s="22">
        <f>IFERROR((Tabla1[[#This Row],[PVF]]-Tabla1[[#This Row],[PRECIO U.]])/Tabla1[[#This Row],[PRECIO U.]],"")</f>
        <v>0.15313653136531374</v>
      </c>
      <c r="N272" s="18">
        <f>IFERROR(Tabla1[[#This Row],[PVF]]-Tabla1[[#This Row],[PRECIO U.]],"")</f>
        <v>1.9920000000000009</v>
      </c>
    </row>
    <row r="273" spans="2:14" x14ac:dyDescent="0.25">
      <c r="B273" t="s">
        <v>320</v>
      </c>
      <c r="C273" s="1" t="s">
        <v>35</v>
      </c>
      <c r="D273" t="s">
        <v>321</v>
      </c>
      <c r="E273" s="15" t="s">
        <v>314</v>
      </c>
      <c r="F273" s="13">
        <v>3.57</v>
      </c>
      <c r="G273" s="20">
        <v>1</v>
      </c>
      <c r="H273" s="21">
        <f t="shared" si="12"/>
        <v>4.2839999999999998</v>
      </c>
      <c r="I273" s="16">
        <v>7</v>
      </c>
      <c r="J273" s="2">
        <f>Tabla1[[#This Row],[PVF]]*Tabla1[[#This Row],[UNIDADES]]</f>
        <v>7</v>
      </c>
      <c r="K273" s="9"/>
      <c r="L273" s="10">
        <f>Tabla1[[#This Row],[EMP.]]+Tabla1[[#This Row],[PVF]]</f>
        <v>7</v>
      </c>
      <c r="M273" s="22">
        <f>IFERROR((Tabla1[[#This Row],[PVF]]-Tabla1[[#This Row],[PRECIO U.]])/Tabla1[[#This Row],[PRECIO U.]],"")</f>
        <v>0.63398692810457524</v>
      </c>
      <c r="N273" s="18">
        <f>IFERROR(Tabla1[[#This Row],[PVF]]-Tabla1[[#This Row],[PRECIO U.]],"")</f>
        <v>2.7160000000000002</v>
      </c>
    </row>
    <row r="274" spans="2:14" x14ac:dyDescent="0.25">
      <c r="B274" t="s">
        <v>320</v>
      </c>
      <c r="C274" s="1" t="s">
        <v>35</v>
      </c>
      <c r="D274" t="s">
        <v>121</v>
      </c>
      <c r="E274" s="15" t="s">
        <v>149</v>
      </c>
      <c r="F274" s="13">
        <v>3.39</v>
      </c>
      <c r="G274" s="20">
        <v>1</v>
      </c>
      <c r="H274" s="21">
        <f t="shared" si="12"/>
        <v>4.0679999999999996</v>
      </c>
      <c r="I274" s="16">
        <v>7</v>
      </c>
      <c r="J274" s="2">
        <f>Tabla1[[#This Row],[PVF]]*Tabla1[[#This Row],[UNIDADES]]</f>
        <v>7</v>
      </c>
      <c r="K274" s="9"/>
      <c r="L274" s="10">
        <f>Tabla1[[#This Row],[EMP.]]+Tabla1[[#This Row],[PVF]]</f>
        <v>7</v>
      </c>
      <c r="M274" s="22">
        <f>IFERROR((Tabla1[[#This Row],[PVF]]-Tabla1[[#This Row],[PRECIO U.]])/Tabla1[[#This Row],[PRECIO U.]],"")</f>
        <v>0.72074729596853504</v>
      </c>
      <c r="N274" s="18">
        <f>IFERROR(Tabla1[[#This Row],[PVF]]-Tabla1[[#This Row],[PRECIO U.]],"")</f>
        <v>2.9320000000000004</v>
      </c>
    </row>
    <row r="275" spans="2:14" x14ac:dyDescent="0.25">
      <c r="B275" t="s">
        <v>320</v>
      </c>
      <c r="C275" s="1" t="s">
        <v>35</v>
      </c>
      <c r="D275" t="s">
        <v>199</v>
      </c>
      <c r="E275" s="15" t="s">
        <v>315</v>
      </c>
      <c r="F275" s="13">
        <v>3.33</v>
      </c>
      <c r="G275" s="20">
        <v>1</v>
      </c>
      <c r="H275" s="21">
        <f t="shared" si="12"/>
        <v>3.996</v>
      </c>
      <c r="I275" s="16">
        <v>7</v>
      </c>
      <c r="J275" s="2">
        <f>Tabla1[[#This Row],[PVF]]*Tabla1[[#This Row],[UNIDADES]]</f>
        <v>7</v>
      </c>
      <c r="K275" s="9"/>
      <c r="L275" s="10">
        <f>Tabla1[[#This Row],[EMP.]]+Tabla1[[#This Row],[PVF]]</f>
        <v>7</v>
      </c>
      <c r="M275" s="22">
        <f>IFERROR((Tabla1[[#This Row],[PVF]]-Tabla1[[#This Row],[PRECIO U.]])/Tabla1[[#This Row],[PRECIO U.]],"")</f>
        <v>0.7517517517517518</v>
      </c>
      <c r="N275" s="18">
        <f>IFERROR(Tabla1[[#This Row],[PVF]]-Tabla1[[#This Row],[PRECIO U.]],"")</f>
        <v>3.004</v>
      </c>
    </row>
    <row r="276" spans="2:14" x14ac:dyDescent="0.25">
      <c r="B276" t="s">
        <v>320</v>
      </c>
      <c r="C276" s="1" t="s">
        <v>34</v>
      </c>
      <c r="D276" t="s">
        <v>322</v>
      </c>
      <c r="E276" s="15" t="s">
        <v>316</v>
      </c>
      <c r="F276" s="13">
        <v>1.68</v>
      </c>
      <c r="G276" s="20">
        <v>1</v>
      </c>
      <c r="H276" s="21">
        <f t="shared" si="12"/>
        <v>2.016</v>
      </c>
      <c r="I276" s="16">
        <v>4</v>
      </c>
      <c r="J276" s="2">
        <f>Tabla1[[#This Row],[PVF]]*Tabla1[[#This Row],[UNIDADES]]</f>
        <v>4</v>
      </c>
      <c r="K276" s="9"/>
      <c r="L276" s="10">
        <f>Tabla1[[#This Row],[EMP.]]+Tabla1[[#This Row],[PVF]]</f>
        <v>4</v>
      </c>
      <c r="M276" s="22">
        <f>IFERROR((Tabla1[[#This Row],[PVF]]-Tabla1[[#This Row],[PRECIO U.]])/Tabla1[[#This Row],[PRECIO U.]],"")</f>
        <v>0.98412698412698407</v>
      </c>
      <c r="N276" s="18">
        <f>IFERROR(Tabla1[[#This Row],[PVF]]-Tabla1[[#This Row],[PRECIO U.]],"")</f>
        <v>1.984</v>
      </c>
    </row>
    <row r="277" spans="2:14" x14ac:dyDescent="0.25">
      <c r="B277" t="s">
        <v>320</v>
      </c>
      <c r="C277" s="1" t="s">
        <v>64</v>
      </c>
      <c r="D277" t="s">
        <v>267</v>
      </c>
      <c r="E277" s="15" t="s">
        <v>317</v>
      </c>
      <c r="F277" s="13">
        <v>3.35</v>
      </c>
      <c r="G277" s="20">
        <v>1</v>
      </c>
      <c r="H277" s="21">
        <f t="shared" si="12"/>
        <v>4.0199999999999996</v>
      </c>
      <c r="I277" s="16">
        <v>7</v>
      </c>
      <c r="J277" s="2">
        <f>Tabla1[[#This Row],[PVF]]*Tabla1[[#This Row],[UNIDADES]]</f>
        <v>7</v>
      </c>
      <c r="K277" s="9"/>
      <c r="L277" s="10">
        <f>Tabla1[[#This Row],[EMP.]]+Tabla1[[#This Row],[PVF]]</f>
        <v>7</v>
      </c>
      <c r="M277" s="22">
        <f>IFERROR((Tabla1[[#This Row],[PVF]]-Tabla1[[#This Row],[PRECIO U.]])/Tabla1[[#This Row],[PRECIO U.]],"")</f>
        <v>0.74129353233830864</v>
      </c>
      <c r="N277" s="18">
        <f>IFERROR(Tabla1[[#This Row],[PVF]]-Tabla1[[#This Row],[PRECIO U.]],"")</f>
        <v>2.9800000000000004</v>
      </c>
    </row>
    <row r="278" spans="2:14" x14ac:dyDescent="0.25">
      <c r="B278" t="s">
        <v>320</v>
      </c>
      <c r="C278" s="1" t="s">
        <v>35</v>
      </c>
      <c r="D278" t="s">
        <v>323</v>
      </c>
      <c r="E278" s="15" t="s">
        <v>318</v>
      </c>
      <c r="F278" s="13">
        <v>3.54</v>
      </c>
      <c r="G278" s="20">
        <v>5</v>
      </c>
      <c r="H278" s="21">
        <f t="shared" si="12"/>
        <v>0.84959999999999991</v>
      </c>
      <c r="I278" s="16">
        <v>2</v>
      </c>
      <c r="J278" s="2">
        <f>Tabla1[[#This Row],[PVF]]*Tabla1[[#This Row],[UNIDADES]]</f>
        <v>10</v>
      </c>
      <c r="K278" s="9"/>
      <c r="L278" s="10">
        <f>Tabla1[[#This Row],[EMP.]]+Tabla1[[#This Row],[PVF]]</f>
        <v>2</v>
      </c>
      <c r="M278" s="22">
        <f>IFERROR((Tabla1[[#This Row],[PVF]]-Tabla1[[#This Row],[PRECIO U.]])/Tabla1[[#This Row],[PRECIO U.]],"")</f>
        <v>1.3540489642184559</v>
      </c>
      <c r="N278" s="18">
        <f>IFERROR(Tabla1[[#This Row],[PVF]]-Tabla1[[#This Row],[PRECIO U.]],"")</f>
        <v>1.1504000000000001</v>
      </c>
    </row>
    <row r="279" spans="2:14" x14ac:dyDescent="0.25">
      <c r="B279" t="s">
        <v>320</v>
      </c>
      <c r="C279" s="1" t="s">
        <v>35</v>
      </c>
      <c r="D279" t="s">
        <v>323</v>
      </c>
      <c r="E279" s="15" t="s">
        <v>319</v>
      </c>
      <c r="F279" s="13">
        <v>1.76</v>
      </c>
      <c r="G279" s="20">
        <v>1</v>
      </c>
      <c r="H279" s="21">
        <f t="shared" si="12"/>
        <v>2.1120000000000001</v>
      </c>
      <c r="I279" s="16">
        <v>4</v>
      </c>
      <c r="J279" s="2">
        <f>Tabla1[[#This Row],[PVF]]*Tabla1[[#This Row],[UNIDADES]]</f>
        <v>4</v>
      </c>
      <c r="K279" s="9"/>
      <c r="L279" s="10">
        <f>Tabla1[[#This Row],[EMP.]]+Tabla1[[#This Row],[PVF]]</f>
        <v>4</v>
      </c>
      <c r="M279" s="22">
        <f>IFERROR((Tabla1[[#This Row],[PVF]]-Tabla1[[#This Row],[PRECIO U.]])/Tabla1[[#This Row],[PRECIO U.]],"")</f>
        <v>0.89393939393939381</v>
      </c>
      <c r="N279" s="18">
        <f>IFERROR(Tabla1[[#This Row],[PVF]]-Tabla1[[#This Row],[PRECIO U.]],"")</f>
        <v>1.8879999999999999</v>
      </c>
    </row>
    <row r="280" spans="2:14" x14ac:dyDescent="0.25">
      <c r="E280" s="15"/>
      <c r="F280" s="13"/>
      <c r="G280" s="20"/>
      <c r="H280" s="21" t="str">
        <f t="shared" si="12"/>
        <v/>
      </c>
      <c r="I280" s="16"/>
      <c r="J280" s="2">
        <f>Tabla1[[#This Row],[PVF]]*Tabla1[[#This Row],[UNIDADES]]</f>
        <v>0</v>
      </c>
      <c r="K280" s="9"/>
      <c r="L280" s="10">
        <f>Tabla1[[#This Row],[EMP.]]+Tabla1[[#This Row],[PVF]]</f>
        <v>0</v>
      </c>
      <c r="M280" s="22" t="str">
        <f>IFERROR((Tabla1[[#This Row],[PVF]]-Tabla1[[#This Row],[PRECIO U.]])/Tabla1[[#This Row],[PRECIO U.]],"")</f>
        <v/>
      </c>
      <c r="N280" s="18" t="str">
        <f>IFERROR(Tabla1[[#This Row],[PVF]]-Tabla1[[#This Row],[PRECIO U.]],"")</f>
        <v/>
      </c>
    </row>
    <row r="281" spans="2:14" x14ac:dyDescent="0.25">
      <c r="E281" s="15"/>
      <c r="F281" s="13"/>
      <c r="G281" s="20"/>
      <c r="H281" s="21" t="str">
        <f t="shared" si="12"/>
        <v/>
      </c>
      <c r="I281" s="16"/>
      <c r="J281" s="2">
        <f>Tabla1[[#This Row],[PVF]]*Tabla1[[#This Row],[UNIDADES]]</f>
        <v>0</v>
      </c>
      <c r="K281" s="9"/>
      <c r="L281" s="10">
        <f>Tabla1[[#This Row],[EMP.]]+Tabla1[[#This Row],[PVF]]</f>
        <v>0</v>
      </c>
      <c r="M281" s="22" t="str">
        <f>IFERROR((Tabla1[[#This Row],[PVF]]-Tabla1[[#This Row],[PRECIO U.]])/Tabla1[[#This Row],[PRECIO U.]],"")</f>
        <v/>
      </c>
      <c r="N281" s="18" t="str">
        <f>IFERROR(Tabla1[[#This Row],[PVF]]-Tabla1[[#This Row],[PRECIO U.]],"")</f>
        <v/>
      </c>
    </row>
    <row r="282" spans="2:14" x14ac:dyDescent="0.25">
      <c r="E282" s="15"/>
      <c r="F282" s="13"/>
      <c r="G282" s="20"/>
      <c r="H282" s="21" t="str">
        <f t="shared" si="12"/>
        <v/>
      </c>
      <c r="I282" s="16"/>
      <c r="J282" s="2">
        <f>Tabla1[[#This Row],[PVF]]*Tabla1[[#This Row],[UNIDADES]]</f>
        <v>0</v>
      </c>
      <c r="K282" s="9"/>
      <c r="L282" s="10">
        <f>Tabla1[[#This Row],[EMP.]]+Tabla1[[#This Row],[PVF]]</f>
        <v>0</v>
      </c>
      <c r="M282" s="22" t="str">
        <f>IFERROR((Tabla1[[#This Row],[PVF]]-Tabla1[[#This Row],[PRECIO U.]])/Tabla1[[#This Row],[PRECIO U.]],"")</f>
        <v/>
      </c>
      <c r="N282" s="18" t="str">
        <f>IFERROR(Tabla1[[#This Row],[PVF]]-Tabla1[[#This Row],[PRECIO U.]],"")</f>
        <v/>
      </c>
    </row>
    <row r="283" spans="2:14" x14ac:dyDescent="0.25">
      <c r="E283" s="15"/>
      <c r="F283" s="13"/>
      <c r="G283" s="20"/>
      <c r="H283" s="21" t="str">
        <f t="shared" si="12"/>
        <v/>
      </c>
      <c r="I283" s="16"/>
      <c r="J283" s="2">
        <f>Tabla1[[#This Row],[PVF]]*Tabla1[[#This Row],[UNIDADES]]</f>
        <v>0</v>
      </c>
      <c r="K283" s="9"/>
      <c r="L283" s="10">
        <f>Tabla1[[#This Row],[EMP.]]+Tabla1[[#This Row],[PVF]]</f>
        <v>0</v>
      </c>
      <c r="M283" s="22" t="str">
        <f>IFERROR((Tabla1[[#This Row],[PVF]]-Tabla1[[#This Row],[PRECIO U.]])/Tabla1[[#This Row],[PRECIO U.]],"")</f>
        <v/>
      </c>
      <c r="N283" s="18" t="str">
        <f>IFERROR(Tabla1[[#This Row],[PVF]]-Tabla1[[#This Row],[PRECIO U.]],"")</f>
        <v/>
      </c>
    </row>
    <row r="284" spans="2:14" x14ac:dyDescent="0.25">
      <c r="E284" s="15"/>
      <c r="F284" s="13"/>
      <c r="G284" s="20"/>
      <c r="H284" s="21" t="str">
        <f t="shared" si="12"/>
        <v/>
      </c>
      <c r="I284" s="16"/>
      <c r="J284" s="2">
        <f>Tabla1[[#This Row],[PVF]]*Tabla1[[#This Row],[UNIDADES]]</f>
        <v>0</v>
      </c>
      <c r="K284" s="9"/>
      <c r="L284" s="10">
        <f>Tabla1[[#This Row],[EMP.]]+Tabla1[[#This Row],[PVF]]</f>
        <v>0</v>
      </c>
      <c r="M284" s="22" t="str">
        <f>IFERROR((Tabla1[[#This Row],[PVF]]-Tabla1[[#This Row],[PRECIO U.]])/Tabla1[[#This Row],[PRECIO U.]],"")</f>
        <v/>
      </c>
      <c r="N284" s="18" t="str">
        <f>IFERROR(Tabla1[[#This Row],[PVF]]-Tabla1[[#This Row],[PRECIO U.]],"")</f>
        <v/>
      </c>
    </row>
    <row r="285" spans="2:14" x14ac:dyDescent="0.25">
      <c r="E285" s="15"/>
      <c r="F285" s="13"/>
      <c r="G285" s="20"/>
      <c r="H285" s="21" t="str">
        <f t="shared" si="12"/>
        <v/>
      </c>
      <c r="I285" s="16"/>
      <c r="J285" s="2">
        <f>Tabla1[[#This Row],[PVF]]*Tabla1[[#This Row],[UNIDADES]]</f>
        <v>0</v>
      </c>
      <c r="K285" s="9"/>
      <c r="L285" s="10">
        <f>Tabla1[[#This Row],[EMP.]]+Tabla1[[#This Row],[PVF]]</f>
        <v>0</v>
      </c>
      <c r="M285" s="22" t="str">
        <f>IFERROR((Tabla1[[#This Row],[PVF]]-Tabla1[[#This Row],[PRECIO U.]])/Tabla1[[#This Row],[PRECIO U.]],"")</f>
        <v/>
      </c>
      <c r="N285" s="18" t="str">
        <f>IFERROR(Tabla1[[#This Row],[PVF]]-Tabla1[[#This Row],[PRECIO U.]],"")</f>
        <v/>
      </c>
    </row>
    <row r="286" spans="2:14" x14ac:dyDescent="0.25">
      <c r="E286" s="15"/>
      <c r="F286" s="13"/>
      <c r="G286" s="20"/>
      <c r="H286" s="21" t="str">
        <f t="shared" si="12"/>
        <v/>
      </c>
      <c r="I286" s="16"/>
      <c r="J286" s="2">
        <f>Tabla1[[#This Row],[PVF]]*Tabla1[[#This Row],[UNIDADES]]</f>
        <v>0</v>
      </c>
      <c r="K286" s="9"/>
      <c r="L286" s="10">
        <f>Tabla1[[#This Row],[EMP.]]+Tabla1[[#This Row],[PVF]]</f>
        <v>0</v>
      </c>
      <c r="M286" s="22" t="str">
        <f>IFERROR((Tabla1[[#This Row],[PVF]]-Tabla1[[#This Row],[PRECIO U.]])/Tabla1[[#This Row],[PRECIO U.]],"")</f>
        <v/>
      </c>
      <c r="N286" s="18" t="str">
        <f>IFERROR(Tabla1[[#This Row],[PVF]]-Tabla1[[#This Row],[PRECIO U.]],"")</f>
        <v/>
      </c>
    </row>
    <row r="287" spans="2:14" x14ac:dyDescent="0.25">
      <c r="E287" s="15"/>
      <c r="F287" s="13"/>
      <c r="G287" s="20"/>
      <c r="H287" s="21" t="str">
        <f t="shared" si="12"/>
        <v/>
      </c>
      <c r="I287" s="16"/>
      <c r="J287" s="2">
        <f>Tabla1[[#This Row],[PVF]]*Tabla1[[#This Row],[UNIDADES]]</f>
        <v>0</v>
      </c>
      <c r="K287" s="9"/>
      <c r="L287" s="10">
        <f>Tabla1[[#This Row],[EMP.]]+Tabla1[[#This Row],[PVF]]</f>
        <v>0</v>
      </c>
      <c r="M287" s="22" t="str">
        <f>IFERROR((Tabla1[[#This Row],[PVF]]-Tabla1[[#This Row],[PRECIO U.]])/Tabla1[[#This Row],[PRECIO U.]],"")</f>
        <v/>
      </c>
      <c r="N287" s="18" t="str">
        <f>IFERROR(Tabla1[[#This Row],[PVF]]-Tabla1[[#This Row],[PRECIO U.]],"")</f>
        <v/>
      </c>
    </row>
    <row r="288" spans="2:14" x14ac:dyDescent="0.25">
      <c r="C288"/>
      <c r="E288"/>
      <c r="F288" s="12">
        <f>SUBTOTAL(109,Tabla1[SUBTOTAL])</f>
        <v>1006.37</v>
      </c>
      <c r="H288"/>
      <c r="I288" s="2"/>
      <c r="J288" s="11">
        <f>SUBTOTAL(109,Tabla1[TOTAL PVP])</f>
        <v>2088.25</v>
      </c>
      <c r="K288" s="2"/>
      <c r="L288" s="5"/>
      <c r="M288" s="19">
        <f>SUBTOTAL(101,Tabla1[Rent%])</f>
        <v>0.90270381031568314</v>
      </c>
      <c r="N288" s="2">
        <f>SUBTOTAL(101,Tabla1[Rent$])</f>
        <v>2.3134438837129072</v>
      </c>
    </row>
  </sheetData>
  <phoneticPr fontId="5" type="noConversion"/>
  <pageMargins left="0.25" right="0.25" top="0.75" bottom="0.75" header="0.3" footer="0.3"/>
  <pageSetup paperSize="9" scale="97" fitToHeight="0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Gonzalo Andrade Fierro</dc:creator>
  <cp:lastModifiedBy>Luis Gonzalo Andrade Fierro</cp:lastModifiedBy>
  <cp:lastPrinted>2025-08-11T15:49:06Z</cp:lastPrinted>
  <dcterms:created xsi:type="dcterms:W3CDTF">2025-05-27T03:09:08Z</dcterms:created>
  <dcterms:modified xsi:type="dcterms:W3CDTF">2025-11-22T23:53:00Z</dcterms:modified>
</cp:coreProperties>
</file>